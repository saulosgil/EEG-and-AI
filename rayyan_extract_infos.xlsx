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4b858b1fb629067/Mestrado_UFABC/Disciplinas/Disciplina_Estudo Dirigido/"/>
    </mc:Choice>
  </mc:AlternateContent>
  <xr:revisionPtr revIDLastSave="2" documentId="8_{2EF354EB-0213-4008-BFCA-5327BDC3D30F}" xr6:coauthVersionLast="47" xr6:coauthVersionMax="47" xr10:uidLastSave="{AC00D4C1-18C0-42F6-B7DA-E5C395ADCACD}"/>
  <bookViews>
    <workbookView xWindow="28680" yWindow="-120" windowWidth="19440" windowHeight="14880" activeTab="1" xr2:uid="{858F0266-1893-4D0C-AFA6-572C1C22FF8D}"/>
  </bookViews>
  <sheets>
    <sheet name="articles" sheetId="2" r:id="rId1"/>
    <sheet name="r_sheet" sheetId="4" r:id="rId2"/>
  </sheets>
  <definedNames>
    <definedName name="DadosExternos_1" localSheetId="0" hidden="1">articles!$A$1:$AV$21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2" i="2" l="1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S2" i="2"/>
  <c r="AS3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R2" i="2"/>
  <c r="AR3" i="2"/>
  <c r="AR4" i="2"/>
  <c r="AR5" i="2"/>
  <c r="AR6" i="2"/>
  <c r="AR7" i="2"/>
  <c r="AR8" i="2"/>
  <c r="AR9" i="2"/>
  <c r="AR10" i="2"/>
  <c r="AR11" i="2"/>
  <c r="AR12" i="2"/>
  <c r="AR13" i="2"/>
  <c r="AR14" i="2"/>
  <c r="AR15" i="2"/>
  <c r="AR16" i="2"/>
  <c r="AR17" i="2"/>
  <c r="AR18" i="2"/>
  <c r="AR19" i="2"/>
  <c r="AR20" i="2"/>
  <c r="AR21" i="2"/>
  <c r="AQ2" i="2"/>
  <c r="AQ3" i="2"/>
  <c r="AQ4" i="2"/>
  <c r="AQ5" i="2"/>
  <c r="AQ6" i="2"/>
  <c r="AQ7" i="2"/>
  <c r="AQ8" i="2"/>
  <c r="AQ9" i="2"/>
  <c r="AQ10" i="2"/>
  <c r="AQ11" i="2"/>
  <c r="AQ12" i="2"/>
  <c r="AQ13" i="2"/>
  <c r="AQ14" i="2"/>
  <c r="AQ15" i="2"/>
  <c r="AQ16" i="2"/>
  <c r="AQ17" i="2"/>
  <c r="AQ18" i="2"/>
  <c r="AQ19" i="2"/>
  <c r="AQ20" i="2"/>
  <c r="AQ21" i="2"/>
  <c r="AP2" i="2"/>
  <c r="AP3" i="2"/>
  <c r="AP4" i="2"/>
  <c r="AP5" i="2"/>
  <c r="AP6" i="2"/>
  <c r="AP7" i="2"/>
  <c r="AP8" i="2"/>
  <c r="AP9" i="2"/>
  <c r="AP10" i="2"/>
  <c r="AP11" i="2"/>
  <c r="AP12" i="2"/>
  <c r="AP13" i="2"/>
  <c r="AP14" i="2"/>
  <c r="AP15" i="2"/>
  <c r="AP16" i="2"/>
  <c r="AP17" i="2"/>
  <c r="AP18" i="2"/>
  <c r="AP19" i="2"/>
  <c r="AP20" i="2"/>
  <c r="AP21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N20" i="2"/>
  <c r="AN21" i="2"/>
  <c r="AM2" i="2"/>
  <c r="AM3" i="2"/>
  <c r="AM4" i="2"/>
  <c r="AM5" i="2"/>
  <c r="AM6" i="2"/>
  <c r="AM7" i="2"/>
  <c r="AM8" i="2"/>
  <c r="AM9" i="2"/>
  <c r="AM10" i="2"/>
  <c r="AM11" i="2"/>
  <c r="AM12" i="2"/>
  <c r="AM13" i="2"/>
  <c r="AM14" i="2"/>
  <c r="AM15" i="2"/>
  <c r="AM16" i="2"/>
  <c r="AM17" i="2"/>
  <c r="AM18" i="2"/>
  <c r="AM19" i="2"/>
  <c r="AM20" i="2"/>
  <c r="AM21" i="2"/>
  <c r="AL2" i="2"/>
  <c r="AL3" i="2"/>
  <c r="A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K2" i="2"/>
  <c r="AK3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J2" i="2"/>
  <c r="AJ3" i="2"/>
  <c r="AJ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I2" i="2"/>
  <c r="AI3" i="2"/>
  <c r="AI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H2" i="2"/>
  <c r="AH3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G2" i="2"/>
  <c r="AG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F2" i="2"/>
  <c r="AF3" i="2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E2" i="2"/>
  <c r="AE3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D2" i="2"/>
  <c r="AD3" i="2"/>
  <c r="AD4" i="2"/>
  <c r="AD5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21" i="2"/>
  <c r="AC2" i="2"/>
  <c r="AC3" i="2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5B9627F-FA99-42A6-AF9B-4AE059D2E490}" keepAlive="1" name="Consulta - articles" description="Conexão com a consulta 'articles' na pasta de trabalho." type="5" refreshedVersion="8" background="1" saveData="1">
    <dbPr connection="Provider=Microsoft.Mashup.OleDb.1;Data Source=$Workbook$;Location=articles;Extended Properties=&quot;&quot;" command="SELECT * FROM [articles]"/>
  </connection>
</connections>
</file>

<file path=xl/sharedStrings.xml><?xml version="1.0" encoding="utf-8"?>
<sst xmlns="http://schemas.openxmlformats.org/spreadsheetml/2006/main" count="547" uniqueCount="320">
  <si>
    <t>key</t>
  </si>
  <si>
    <t>title</t>
  </si>
  <si>
    <t>year</t>
  </si>
  <si>
    <t>month</t>
  </si>
  <si>
    <t>day</t>
  </si>
  <si>
    <t>journal</t>
  </si>
  <si>
    <t>issn</t>
  </si>
  <si>
    <t>volume</t>
  </si>
  <si>
    <t>issue</t>
  </si>
  <si>
    <t>pages</t>
  </si>
  <si>
    <t>authors</t>
  </si>
  <si>
    <t>url</t>
  </si>
  <si>
    <t>language</t>
  </si>
  <si>
    <t>publisher</t>
  </si>
  <si>
    <t>location</t>
  </si>
  <si>
    <t>abstract</t>
  </si>
  <si>
    <t>notes</t>
  </si>
  <si>
    <t>doi</t>
  </si>
  <si>
    <t>keywords</t>
  </si>
  <si>
    <t>pubmed_id</t>
  </si>
  <si>
    <t>pmc_id</t>
  </si>
  <si>
    <t>PDF files</t>
  </si>
  <si>
    <t>95897-performance</t>
  </si>
  <si>
    <t>99740-resultado</t>
  </si>
  <si>
    <t>rayyan-487872153</t>
  </si>
  <si>
    <t>Two-channel EEG based diagnosis of panic disorder and major depressive disorder using machine learning and non-linear dynamical methods.</t>
  </si>
  <si>
    <t>Psychiatry research. Neuroimaging</t>
  </si>
  <si>
    <t>1872-7506 (Electronic)</t>
  </si>
  <si>
    <t>111641</t>
  </si>
  <si>
    <t>Aderinwale A and Tolossa GB and Kim AY and Jang EH and Lee YI and Jeon HJ and Kim H and Yu HY and Jeong J</t>
  </si>
  <si>
    <t>https://pubmed.ncbi.nlm.nih.gov/37054495/</t>
  </si>
  <si>
    <t>eng</t>
  </si>
  <si>
    <t/>
  </si>
  <si>
    <t>Netherlands</t>
  </si>
  <si>
    <t>10.1016/j.pscychresns.2023.111641</t>
  </si>
  <si>
    <t>Humans;*Major Depressive Disorder/diagnosis;*Panic Disorder/diagnosis;Electroencephalography/methods;Frontal Lobe;Machine Learning</t>
  </si>
  <si>
    <t>Aderinwale_Two-channel EEG based diagnosis of panic disorder and major depressive disorder using machine learning and non-linear dynamical methods.pdf</t>
  </si>
  <si>
    <t>[{"text":"SVM"}]</t>
  </si>
  <si>
    <t>[{"text":"accuracy, AUC"}]</t>
  </si>
  <si>
    <t>[{"text":"SVM, 90, (accuracy)"}]</t>
  </si>
  <si>
    <t>rayyan-487872154</t>
  </si>
  <si>
    <t>A Machine Learning Algorithm to Discriminating Between Bipolar and Major Depressive Disorders Based on Resting EEG Data.</t>
  </si>
  <si>
    <t>Annual International Conference of the IEEE Engineering in Medicine and Biology           Society. IEEE Engineering in Medicine and Biology Society. Annual International            Conference</t>
  </si>
  <si>
    <t>2694-0604 (Electronic)</t>
  </si>
  <si>
    <t>2635-2638</t>
  </si>
  <si>
    <t>Margarette Sanchez M and Borden L and Alam N and Noroozi A and Ravan M and Flor-Henry P and Hasey G</t>
  </si>
  <si>
    <t>https://pubmed.ncbi.nlm.nih.gov/36085796/</t>
  </si>
  <si>
    <t>United States</t>
  </si>
  <si>
    <t>10.1109/EMBC48229.2022.9871453</t>
  </si>
  <si>
    <t>Algorithms;*Bipolar Disorder/diagnosis;*Major Depressive Disorder/diagnosis;Electroencephalography;Humans;Machine Learning</t>
  </si>
  <si>
    <t>Sanchez_A Machine Learning Algorithm to Discriminating Between Bipolar and Major Depressive Disorders Based on Resting EEG Data.pdf</t>
  </si>
  <si>
    <t>[{"text":"SVM, RF, KNN"}]</t>
  </si>
  <si>
    <t>[{"text":"sensitivity, specificity, precision, total accuracy, F-1 score"}]</t>
  </si>
  <si>
    <t>rayyan-487872156</t>
  </si>
  <si>
    <t>EEG based functional connectivity in resting and emotional states may identify major depressive disorder using machine learning.</t>
  </si>
  <si>
    <t>Clinical neurophysiology : official journal of the International Federation of           Clinical Neurophysiology</t>
  </si>
  <si>
    <t>1872-8952 (Electronic)</t>
  </si>
  <si>
    <t>130-137</t>
  </si>
  <si>
    <t>Earl EH and Goyal M and Mishra S and Kannan B and Mishra A and Chowdhury N and Mishra P</t>
  </si>
  <si>
    <t>https://pubmed.ncbi.nlm.nih.gov/38870669/</t>
  </si>
  <si>
    <t>10.1016/j.clinph.2024.05.017</t>
  </si>
  <si>
    <t>Humans;*Major Depressive Disorder/physiopathology/diagnosis/diagnostic imaging;*Machine Learning;Female;Male;Adult;*Electroencephalography/methods;*Emotions/physiology;Middle Aged;Brain/physiopathology/diagnostic imaging;Rest/physiology;Young Adult</t>
  </si>
  <si>
    <t>Earl_EEG based functional connectivity in resting and emotional states may identify major depressive disorder using machine learning.pdf</t>
  </si>
  <si>
    <t>[{"text":"RF"}]</t>
  </si>
  <si>
    <t>[{"text":"accuracy, precision, sensibility, F1-score, ROC"}]</t>
  </si>
  <si>
    <t>[{"text":"RF, 60"}]</t>
  </si>
  <si>
    <t>rayyan-487872157</t>
  </si>
  <si>
    <t>Toward practical machine-learning-based diagnosis for drug-naïve women with major depressive disorder using EEG channel reduction approach.</t>
  </si>
  <si>
    <t>Journal of affective disorders</t>
  </si>
  <si>
    <t>1573-2517 (Electronic)</t>
  </si>
  <si>
    <t>199-206</t>
  </si>
  <si>
    <t>Shim M and Hwang HJ and Lee SH</t>
  </si>
  <si>
    <t>https://pubmed.ncbi.nlm.nih.gov/37302509/</t>
  </si>
  <si>
    <t>10.1016/j.jad.2023.06.007</t>
  </si>
  <si>
    <t>Humans;Female;*Major Depressive Disorder/diagnosis;Electroencephalography;Machine Learning;Support Vector Machine;Diagnosis, Computer-Assisted</t>
  </si>
  <si>
    <t>Shim_Toward practical machine-learning-based diagnosis for drug-naïve women with major depressive disorder using EEG channel reduction approach.pdf</t>
  </si>
  <si>
    <t>[{"text":"accuracy, sensitivity, specificity"}]</t>
  </si>
  <si>
    <t>[{"text":"SVM, 83"}]</t>
  </si>
  <si>
    <t>rayyan-487872159</t>
  </si>
  <si>
    <t>Major depressive disorder assessment via enhanced k-nearest neighbor method and EEG signals.</t>
  </si>
  <si>
    <t>Physical and engineering sciences in medicine</t>
  </si>
  <si>
    <t>2662-4737 (Electronic)</t>
  </si>
  <si>
    <t>1007-1018</t>
  </si>
  <si>
    <t>Saeedi M and Saeedi A and Maghsoudi A</t>
  </si>
  <si>
    <t>https://pubmed.ncbi.nlm.nih.gov/32662038/</t>
  </si>
  <si>
    <t>Switzerland</t>
  </si>
  <si>
    <t>10.1007/s13246-020-00897-w</t>
  </si>
  <si>
    <t>Adult;*Algorithms;Major Depressive Disorder/*diagnosis/*diagnostic imaging;*Electroencephalography;Entropy;Female;Humans;Male;Middle Aged;Nonlinear Dynamics;*Signal Processing, Computer-Assisted;Support Vector Machine;Time Factors;Wavelet Analysis</t>
  </si>
  <si>
    <t>Saeedi_Major depressive disorder assessment via enhanced k-nearest neighbor method and EEG signals_4j1.pdf</t>
  </si>
  <si>
    <t>[{"text":"SVM, MLP,  KNN, E-KNN"}]</t>
  </si>
  <si>
    <t>[{"text":"sensitivity, specificity, accuracy"}]</t>
  </si>
  <si>
    <t>[{"text":"SVM, 96, MLP, 90, KNN 88, E-KNN, 97"}]</t>
  </si>
  <si>
    <t>rayyan-487872163</t>
  </si>
  <si>
    <t>Assessing the Predictive Utility of Quantitative Electroencephalography Coherence in Adolescent Major Depressive Disorder: A Machine Learning Approach.</t>
  </si>
  <si>
    <t>Journal of child and adolescent psychopharmacology</t>
  </si>
  <si>
    <t>1557-8992 (Electronic)</t>
  </si>
  <si>
    <t>544-553</t>
  </si>
  <si>
    <t>McVoy M and Chumachenko S and Gersten M and Wade B and Corcelles O and Yala J and Gray M and Morris A and Jamil A and Cassono P and Kaffashi F and Loparo K and Briggs F and Sajatovic M</t>
  </si>
  <si>
    <t>https://pubmed.ncbi.nlm.nih.gov/40785447/</t>
  </si>
  <si>
    <t>10.1177/10445463251358742</t>
  </si>
  <si>
    <t>Humans;*Major Depressive Disorder/diagnosis/physiopathology;Female;Male;Adolescent;*Electroencephalography/methods;*Machine Learning;Longitudinal Studies;Prospective Studies;Case-Control Studies;Predictive Value of Tests;Brain/physiopathology;Psychiatric Status Rating Scales</t>
  </si>
  <si>
    <t>McVoy_Assessing the Predictive Utility of Quantitative Electroencephalography Coherence in Adolescent Major Depressive Disorder- A Machine Learning Approach.pdf</t>
  </si>
  <si>
    <t>[{"text":"ROC, AUC-PR, sensitivity, specificity, positive predictive value,  negative predictive value, precision-recall, ROC"}]</t>
  </si>
  <si>
    <t>[{"text":"RF, 65"}]</t>
  </si>
  <si>
    <t>rayyan-487872164</t>
  </si>
  <si>
    <t>Resting-state EEG dynamic functional connectivity distinguishes non-psychotic major depression, psychotic major depression and schizophrenia.</t>
  </si>
  <si>
    <t>Molecular psychiatry</t>
  </si>
  <si>
    <t>1476-5578 (Electronic)</t>
  </si>
  <si>
    <t>1088-1098</t>
  </si>
  <si>
    <t>Chen H and Lei Y and Li R and Xia X and Cui N and Chen X and Liu J and Tang H and Zhou J and Huang Y and Tian Y and Wang X and Zhou J</t>
  </si>
  <si>
    <t>https://pubmed.ncbi.nlm.nih.gov/38267620/</t>
  </si>
  <si>
    <t>England</t>
  </si>
  <si>
    <t>10.1038/s41380-023-02395-3</t>
  </si>
  <si>
    <t>Humans;*Major Depressive Disorder/physiopathology;*Schizophrenia/physiopathology;Male;Female;Adult;*Electroencephalography/methods;*Brain/physiopathology;Middle Aged;Machine Learning;Psychotic Disorders/physiopathology/diagnosis;Connectome/methods;Young Adult;Nerve Net/physiopathology/diagnostic imaging</t>
  </si>
  <si>
    <t>Chen_Resting-state EEG dynamic functional connectivity distinguishes non-psychotic major depression, psychotic major depression and schizophrenia.pdf</t>
  </si>
  <si>
    <t>[{"text":"accuracy, sensitivity, specificity, precision, and F1-score"}]</t>
  </si>
  <si>
    <t>[{"text":"RF, 75"}]</t>
  </si>
  <si>
    <t>rayyan-487872168</t>
  </si>
  <si>
    <t>A major depressive disorder classification framework based on EEG signals using statistical, spectral, wavelet, functional connectivity, and nonlinear analysis.</t>
  </si>
  <si>
    <t>Journal of neuroscience methods</t>
  </si>
  <si>
    <t>1872-678X (Electronic)</t>
  </si>
  <si>
    <t>109209</t>
  </si>
  <si>
    <t>Movahed RA and Jahromi GP and Shahyad S and Meftahi GH</t>
  </si>
  <si>
    <t>https://pubmed.ncbi.nlm.nih.gov/33957158/</t>
  </si>
  <si>
    <t>10.1016/j.jneumeth.2021.109209</t>
  </si>
  <si>
    <t>Algorithms;*Major Depressive Disorder/diagnosis;Electroencephalography;Humans;Machine Learning;Support Vector Machine;Wavelet Analysis</t>
  </si>
  <si>
    <t>Movahed_A major depressive disorder classification framework based on EEG signals using statistical, spectral, wavelet, functional connectivity, and nonlinear.pdf</t>
  </si>
  <si>
    <t>[{"text":"accuracy, specificity, sensitivity,  F1-score, FDR"}]</t>
  </si>
  <si>
    <t>rayyan-487872170</t>
  </si>
  <si>
    <t>Machine Learning and Electroencephalogram Signal based Diagnosis of Dipression.</t>
  </si>
  <si>
    <t>Neuroscience letters</t>
  </si>
  <si>
    <t>1872-7972 (Electronic)</t>
  </si>
  <si>
    <t>137313</t>
  </si>
  <si>
    <t>Khadidos AO and Alyoubi KH and Mahato S and Khadidos AO and Nandan Mohanty S</t>
  </si>
  <si>
    <t>https://pubmed.ncbi.nlm.nih.gov/37257682/</t>
  </si>
  <si>
    <t>Ireland</t>
  </si>
  <si>
    <t>10.1016/j.neulet.2023.137313</t>
  </si>
  <si>
    <t>Humans;*Depression/diagnosis/psychology;*Electroencephalography;*Machine Learning;Case-Control Studies;Datasets as Topic;Neural Networks, Computer;Decision Trees;Random Forest;Major Depressive Disorder/diagnosis/psychology</t>
  </si>
  <si>
    <t>Khadidos_Machine Learning and Electroencephalogram Signal based Diagnosis of Dipression.pdf</t>
  </si>
  <si>
    <t>[{"text":"GB, XGB, BI-LSTM, RF, LSTM, CNN, GRU, RNN"}]</t>
  </si>
  <si>
    <t>[{"text":"accuracy, precision, sensitivity, F1-score, ROC, Hamming loss, Jaccard score, cross-entropy"}]</t>
  </si>
  <si>
    <t>[{"text":"RF, 96, GB, 92, XGB, 97"}]</t>
  </si>
  <si>
    <t>rayyan-487872171</t>
  </si>
  <si>
    <t>Machine learning-based classification using electroencephalographic multi-paradigms between drug-naïve patients with depression and healthy controls.</t>
  </si>
  <si>
    <t>270-277</t>
  </si>
  <si>
    <t>Jang KI and Kim S and Chae JH and Lee C</t>
  </si>
  <si>
    <t>https://pubmed.ncbi.nlm.nih.gov/37271294/</t>
  </si>
  <si>
    <t>10.1016/j.jad.2023.06.002</t>
  </si>
  <si>
    <t>Humans;*Major Depressive Disorder/diagnosis;Depression;Electroencephalography;Evoked Potentials, Auditory;Machine Learning;Support Vector Machine</t>
  </si>
  <si>
    <t>Jang_Machine learning-based classification using electroencephalographic multi-paradigms between drug-naïve patients with depression and healthy controls.pdf</t>
  </si>
  <si>
    <t>[{"text":"LDA, SVM"}]</t>
  </si>
  <si>
    <t>[{"text":"LDA, 84, SVM, 87"}]</t>
  </si>
  <si>
    <t>rayyan-487872172</t>
  </si>
  <si>
    <t>A novel EEG-based major depressive disorder detection framework with two-stage feature selection.</t>
  </si>
  <si>
    <t>BMC medical informatics and decision making</t>
  </si>
  <si>
    <t>1472-6947 (Electronic)</t>
  </si>
  <si>
    <t>209</t>
  </si>
  <si>
    <t>Li Y and Shen Y and Fan X and Huang X and Yu H and Zhao G and Ma W</t>
  </si>
  <si>
    <t>https://pubmed.ncbi.nlm.nih.gov/35933348/</t>
  </si>
  <si>
    <t>10.1186/s12911-022-01956-w</t>
  </si>
  <si>
    <t>*Major Depressive Disorder/diagnosis;Electroencephalography/methods;Humans;Logistic Models;Machine Learning;Support Vector Machine</t>
  </si>
  <si>
    <t>PMC9357341</t>
  </si>
  <si>
    <t>Li_A novel EEG-based major depressive disorder detection framework with two-stage feature selection.pdf</t>
  </si>
  <si>
    <t>[{"text":"LR, SVM"}]</t>
  </si>
  <si>
    <t>[{"text":"specificity, sensitivity, accuracy, precision, F1-score"}]</t>
  </si>
  <si>
    <t>[{"text":"LR, 82, SVM, 97"}]</t>
  </si>
  <si>
    <t>rayyan-487872173</t>
  </si>
  <si>
    <t>Implications of Aperiodic and Periodic EEG Components in Classification of Major Depressive Disorder from Source and Electrode Perspectives.</t>
  </si>
  <si>
    <t>Sensors (Basel, Switzerland)</t>
  </si>
  <si>
    <t>1424-8220 (Electronic)</t>
  </si>
  <si>
    <t>Zandbagleh A and Sanei S and Azami H</t>
  </si>
  <si>
    <t>https://pubmed.ncbi.nlm.nih.gov/39338848/</t>
  </si>
  <si>
    <t>10.3390/s24186103</t>
  </si>
  <si>
    <t>Humans;*Major Depressive Disorder/physiopathology/diagnosis;*Electroencephalography/methods;Female;Male;Adult;*Electrodes;Young Adult;Algorithms;Machine Learning;Brain/physiopathology;Signal Processing, Computer-Assisted</t>
  </si>
  <si>
    <t>PMC11436117</t>
  </si>
  <si>
    <t>Zandbagled_Implications of Aperiodic and Periodic EEG Components in Classification of Major Depressive Disorder from Source and Electrode Perspectives.pdf</t>
  </si>
  <si>
    <t>[{"text":"LR"}]</t>
  </si>
  <si>
    <t>[{"text":"ROC"}]</t>
  </si>
  <si>
    <t>[{"text":"LR, 82, (ROC)"}]</t>
  </si>
  <si>
    <t>rayyan-487872177</t>
  </si>
  <si>
    <t>Resting-State EEG Signal for Major Depressive Disorder Detection: A Systematic Validation on a Large and Diverse Dataset.</t>
  </si>
  <si>
    <t>Biosensors</t>
  </si>
  <si>
    <t>2079-6374 (Electronic)</t>
  </si>
  <si>
    <t>Wu CT and Huang HC and Huang S and Chen IM and Liao SC and Chen CK and Lin C and Lee SH and Chen MH and Tsai CF and Weng CH and Ko LW and Jung TP and Liu YH</t>
  </si>
  <si>
    <t>https://pubmed.ncbi.nlm.nih.gov/34940256/</t>
  </si>
  <si>
    <t>10.3390/bios11120499</t>
  </si>
  <si>
    <t>*Major Depressive Disorder/diagnosis;*Electroencephalography;Humans;Machine Learning;Support Vector Machine</t>
  </si>
  <si>
    <t>PMC8699348</t>
  </si>
  <si>
    <t>Wu_Resting-State EEG Signal for Major Depressive Disorder Detection A Systematic Validation on a Large and Diverse Dataset.pdf</t>
  </si>
  <si>
    <t>[{"text":"KNN, LDA, SVM, CK-SVM"}]</t>
  </si>
  <si>
    <t>[{"text":"KNN, 48, LDA, 75, SVM, 86, CK-SVM, 88"}]</t>
  </si>
  <si>
    <t>rayyan-487872182</t>
  </si>
  <si>
    <t>EEG-based Major Depressive Disorder Detection Using Data Mining Techniques.</t>
  </si>
  <si>
    <t>1694-1697</t>
  </si>
  <si>
    <t>Hong D and Huang X and Shen Y and Yu H and Fan X and Zhao G and Lei W and Luo H</t>
  </si>
  <si>
    <t>https://pubmed.ncbi.nlm.nih.gov/34891612/</t>
  </si>
  <si>
    <t>10.1109/EMBC46164.2021.9629907</t>
  </si>
  <si>
    <t>Data Mining;*Major Depressive Disorder/diagnosis;Electroencephalography;Humans;Suicidal Ideation;Support Vector Machine</t>
  </si>
  <si>
    <t>Hong_EEG-based Major Depressive Disorder Detection Using Data Mining Techniques.pdf</t>
  </si>
  <si>
    <t>[{"text":"LR, SVM, LR-DF, SVM-DF"}]</t>
  </si>
  <si>
    <t>[{"text":"precision, sensibility, accuracy, F1-score"}]</t>
  </si>
  <si>
    <t>[{"text":"LR, 65, SVM, 83, LR, 73, SVM, 90"}]</t>
  </si>
  <si>
    <t>rayyan-487872189</t>
  </si>
  <si>
    <t>EEG microstate-based classification using machine learning in depressed adolescents with and without non-suicidal self-injury.</t>
  </si>
  <si>
    <t>Progress in neuro-psychopharmacology &amp; biological psychiatry</t>
  </si>
  <si>
    <t>1878-4216 (Electronic)</t>
  </si>
  <si>
    <t>111538</t>
  </si>
  <si>
    <t>Song YW and Kim S and Lee HA and Shim SH and Kim JS</t>
  </si>
  <si>
    <t>https://pubmed.ncbi.nlm.nih.gov/41135843/</t>
  </si>
  <si>
    <t>10.1016/j.pnpbp.2025.111538</t>
  </si>
  <si>
    <t>Humans;Adolescent;Male;Female;*Electroencephalography/methods/classification;*Machine Learning;*Self-Injurious Behavior/physiopathology/psychology/diagnosis/complications;*Major Depressive Disorder/physiopathology/psychology/complications</t>
  </si>
  <si>
    <t>Song_EEG microstate-based classification using machine learning in depressed adolescents with and without non-suicidal self-injury.pdf</t>
  </si>
  <si>
    <t>[{"text":"QDA"}]</t>
  </si>
  <si>
    <t>[{"text":"accuracy, sensitivity, specificity, F1-score, AUC"}]</t>
  </si>
  <si>
    <t>[{"text":"QDA, 70"}]</t>
  </si>
  <si>
    <t>rayyan-487872193</t>
  </si>
  <si>
    <t>Opportunities and Challenges for Clinical Practice in Detecting Depression Using EEG and Machine Learning.</t>
  </si>
  <si>
    <t>Mulc D and Vukojevic J and Kalafatic E and Cifrek M and Vidovic D and Jovic A</t>
  </si>
  <si>
    <t>https://pubmed.ncbi.nlm.nih.gov/39860780/</t>
  </si>
  <si>
    <t>10.3390/s25020409</t>
  </si>
  <si>
    <t>Humans;*Electroencephalography/methods;*Machine Learning;*Major Depressive Disorder/diagnosis/physiopathology;Male;Female;Adult;Middle Aged;*Depression/diagnosis/physiopathology</t>
  </si>
  <si>
    <t>PMC11769153</t>
  </si>
  <si>
    <t>Mulc_Opportunities and Challenges for Clinical Practice in Detecting Depression Using EEG and Machine Learning.pdf</t>
  </si>
  <si>
    <t>[{"text":"DT, SVM, RF, KNN, XGB, NB"}]</t>
  </si>
  <si>
    <t>[{"text":"accuracy, F1-score,"}]</t>
  </si>
  <si>
    <t>[{"text":"DT, 78, SVM, 73, RF, 73, KNN, 60, XGB, 80, NB, 75 (accuracy)"}]</t>
  </si>
  <si>
    <t>rayyan-487872194</t>
  </si>
  <si>
    <t>EEG-based Signatures of Schizophrenia, Depression, and Aberrant Aging: A Supervised Machine Learning Investigation.</t>
  </si>
  <si>
    <t>Schizophrenia bulletin</t>
  </si>
  <si>
    <t>1745-1701 (Electronic)</t>
  </si>
  <si>
    <t>804-817</t>
  </si>
  <si>
    <t>Sarisik E and Popovic D and Keeser D and Khuntia A and Schiltz K and Falkai P and Pogarell O and Koutsouleris N</t>
  </si>
  <si>
    <t>https://pubmed.ncbi.nlm.nih.gov/39248267/</t>
  </si>
  <si>
    <t>10.1093/schbul/sbae150</t>
  </si>
  <si>
    <t>Humans;*Schizophrenia/physiopathology/diagnosis;Male;*Major Depressive Disorder/physiopathology/diagnosis;*Electroencephalography/methods;Female;Adult;Middle Aged;*Aging/physiology;*Supervised Machine Learning;Young Adult;*Support Vector Machine;Aged</t>
  </si>
  <si>
    <t>PMC12061654</t>
  </si>
  <si>
    <t>Sarisik_EEG-based Signatures of Schizophrenia, Depression, and Aberrant Aging- A Supervised Machine Learning Investigation.pdf</t>
  </si>
  <si>
    <t>[{"text":"balanced accuracy, sensitivity, specificity, negative predictive value, positive predictive value"}]</t>
  </si>
  <si>
    <t>[{"text":"SVM, 67"}]</t>
  </si>
  <si>
    <t>rayyan-487872204</t>
  </si>
  <si>
    <t>Graph theory analysis based on cross frequency coupling methods in major depressive disorder: A resting state EEG study.</t>
  </si>
  <si>
    <t>Computers in biology and medicine</t>
  </si>
  <si>
    <t>1879-0534 (Electronic)</t>
  </si>
  <si>
    <t>111168</t>
  </si>
  <si>
    <t>Baghernezhad S and Raouf P and Shalchyan V and Rostami R and Daliri MR</t>
  </si>
  <si>
    <t>https://pubmed.ncbi.nlm.nih.gov/41045734/</t>
  </si>
  <si>
    <t>10.1016/j.compbiomed.2025.111168</t>
  </si>
  <si>
    <t>Humans;*Major Depressive Disorder/physiopathology/diagnosis;*Electroencephalography/methods;Male;Female;Adult;Support Vector Machine;*Signal Processing, Computer-Assisted;Middle Aged</t>
  </si>
  <si>
    <t>Baghernezhad_Graph theory analysis based on cross frequency coupling methods in major depressive disorder- A resting state EEG study_-r5.pdf</t>
  </si>
  <si>
    <t>[{"text":"accuracy, sensibility"}]</t>
  </si>
  <si>
    <t>[{"text":"SVM, 93"}]</t>
  </si>
  <si>
    <t>rayyan-487872205</t>
  </si>
  <si>
    <t>Alterations in Patients With First-Episode Depression in the Eyes-Open and Eyes-Closed Conditions: A Resting-State EEG Study.</t>
  </si>
  <si>
    <t>IEEE transactions on neural systems and rehabilitation engineering : a           publication of the IEEE Engineering in Medicine and Biology Society</t>
  </si>
  <si>
    <t>1558-0210 (Electronic)</t>
  </si>
  <si>
    <t>1019-1029</t>
  </si>
  <si>
    <t>Liu S and Liu X and Yan D and Chen S and Liu Y and Hao X and Ou W and Huang Z and Su F and He F and Ming D</t>
  </si>
  <si>
    <t>https://pubmed.ncbi.nlm.nih.gov/35412986/</t>
  </si>
  <si>
    <t>10.1109/TNSRE.2022.3166824</t>
  </si>
  <si>
    <t>Biomarkers;Depression;*Major Depressive Disorder/diagnosis;*Electroencephalography;Humans;Support Vector Machine</t>
  </si>
  <si>
    <t>Liu_Alterations in Patients With First-Episode Depression in the Eyes-Open and Eyes-Closed Conditions- A Resting-State EEG Study_ywN.pdf</t>
  </si>
  <si>
    <t>[{"text":"LINSVM, RBFSVM, LR, LDA"}]</t>
  </si>
  <si>
    <t>[{"text":"LINSVM, 88, RBFSVM, 82, LR, 68, LDA, 78"}]</t>
  </si>
  <si>
    <t>rayyan-487872211</t>
  </si>
  <si>
    <t>Abnormal brain network reconfiguration in neuropsychiatric disorders across cognitive decline, Depression, and Schizophrenia.</t>
  </si>
  <si>
    <t>PloS one</t>
  </si>
  <si>
    <t>1932-6203 (Electronic)</t>
  </si>
  <si>
    <t>e0337470</t>
  </si>
  <si>
    <t>He Y and Yan Z and Liang Y and Yu Y</t>
  </si>
  <si>
    <t>https://pubmed.ncbi.nlm.nih.gov/41343567/</t>
  </si>
  <si>
    <t>10.1371/journal.pone.0337470</t>
  </si>
  <si>
    <t>Humans;*Schizophrenia/physiopathology;*Cognitive Dysfunction/physiopathology;Male;Female;Aged;*Brain/physiopathology;*Major Depressive Disorder/physiopathology;Electroencephalography;Middle Aged;Alzheimer Disease/physiopathology;*Nerve Net/physiopathology;Machine Learning;Case-Control Studies</t>
  </si>
  <si>
    <t>PMC12677783</t>
  </si>
  <si>
    <t>He_Abnormal brain network reconfiguration in neuropsychiatric disorders across cognitive decline, Depression, and Schizophrenia.pdf</t>
  </si>
  <si>
    <t>[{"text":"SVM, RF, KNN, MLP, NB, GB"}]</t>
  </si>
  <si>
    <t>[{"text":"accuracy, precision, sensibility, F1-score"}]</t>
  </si>
  <si>
    <t>[{"text":"SVM, 88, RF, 88, NB, 57, GB, 85, accuracy"}]</t>
  </si>
  <si>
    <t>pct_MDD</t>
  </si>
  <si>
    <t>pct_CTRL</t>
  </si>
  <si>
    <t>SVM</t>
  </si>
  <si>
    <t>RF</t>
  </si>
  <si>
    <t>LR</t>
  </si>
  <si>
    <t>KNN</t>
  </si>
  <si>
    <t>MLP</t>
  </si>
  <si>
    <t>LINSVM</t>
  </si>
  <si>
    <t>DT</t>
  </si>
  <si>
    <t>NB</t>
  </si>
  <si>
    <t>RUBOOST</t>
  </si>
  <si>
    <t>GENTLEBOOST</t>
  </si>
  <si>
    <t>GB</t>
  </si>
  <si>
    <t>XGB</t>
  </si>
  <si>
    <t>LSTM</t>
  </si>
  <si>
    <t>CNN</t>
  </si>
  <si>
    <t>GRU</t>
  </si>
  <si>
    <t>LDA</t>
  </si>
  <si>
    <t>RBFSVM</t>
  </si>
  <si>
    <t>ML_approachs</t>
  </si>
  <si>
    <t>n_canais_eeg</t>
  </si>
  <si>
    <t>SVM_PERF</t>
  </si>
  <si>
    <t>RF_PERF</t>
  </si>
  <si>
    <t>KNN_PERF</t>
  </si>
  <si>
    <t>DT_PERF</t>
  </si>
  <si>
    <t>LDA_PERF</t>
  </si>
  <si>
    <t>NB_PERF</t>
  </si>
  <si>
    <t>LR_PERF</t>
  </si>
  <si>
    <t>GB_PERF</t>
  </si>
  <si>
    <t>RUBOOST_PERF</t>
  </si>
  <si>
    <t>GRU_PERF</t>
  </si>
  <si>
    <t>XGB_PERF</t>
  </si>
  <si>
    <t>GENTLEBOOST_PERF</t>
  </si>
  <si>
    <t>[{"text":"SVM, 83, KNN, 83, RF, 83"}]</t>
  </si>
  <si>
    <t>E-KNN_PERF</t>
  </si>
  <si>
    <t>[{"text":"LINSVM, 98, RBFSVM, 98, LR, 97, RF, 98, DT, 92, GB, 93, NB, 93, RB, 93"}]</t>
  </si>
  <si>
    <t>[{"text":"LINSVM, RBSVM, LR, DT, NB, RUBOOST, GENTLEBOOST, RF"}]</t>
  </si>
  <si>
    <t>QDA_PERF</t>
  </si>
  <si>
    <t>ACC_METRIC</t>
  </si>
  <si>
    <t>SE_METRIC</t>
  </si>
  <si>
    <t>SP_METRIC</t>
  </si>
  <si>
    <t>F1_METRIC</t>
  </si>
  <si>
    <t>ROC_METRIC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</si>
</sst>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2" fillId="0" borderId="0" xfId="0" applyFont="1" applyAlignment="1">
      <alignment vertical="center"/>
    </xf>
    <xf numFmtId="0" fontId="0" fillId="0" borderId="1" xfId="0" applyBorder="1"/>
  </cellXfs>
  <cellStyles count="1">
    <cellStyle name="Normal" xfId="0" builtinId="0"/>
  </cellStyles>
  <dxfs count="1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33DA41F2-1B8A-416D-8362-882806DEE7AD}" autoFormatId="16" applyNumberFormats="0" applyBorderFormats="0" applyFontFormats="0" applyPatternFormats="0" applyAlignmentFormats="0" applyWidthHeightFormats="0">
  <queryTableRefresh nextId="78" unboundColumnsRight="16">
    <queryTableFields count="64">
      <queryTableField id="1" name="key" tableColumnId="1"/>
      <queryTableField id="2" name="title" tableColumnId="2"/>
      <queryTableField id="3" name="year" tableColumnId="3"/>
      <queryTableField id="4" name="month" tableColumnId="4"/>
      <queryTableField id="5" name="day" tableColumnId="5"/>
      <queryTableField id="6" name="journal" tableColumnId="6"/>
      <queryTableField id="7" name="issn" tableColumnId="7"/>
      <queryTableField id="8" name="volume" tableColumnId="8"/>
      <queryTableField id="9" name="issue" tableColumnId="9"/>
      <queryTableField id="10" name="pages" tableColumnId="10"/>
      <queryTableField id="11" name="authors" tableColumnId="11"/>
      <queryTableField id="12" name="url" tableColumnId="12"/>
      <queryTableField id="13" name="language" tableColumnId="13"/>
      <queryTableField id="14" name="publisher" tableColumnId="14"/>
      <queryTableField id="15" name="location" tableColumnId="15"/>
      <queryTableField id="16" name="abstract" tableColumnId="16"/>
      <queryTableField id="17" name="notes" tableColumnId="17"/>
      <queryTableField id="18" name="doi" tableColumnId="18"/>
      <queryTableField id="19" name="keywords" tableColumnId="19"/>
      <queryTableField id="20" name="pubmed_id" tableColumnId="20"/>
      <queryTableField id="21" name="pmc_id" tableColumnId="21"/>
      <queryTableField id="22" name="PDF files" tableColumnId="22"/>
      <queryTableField id="23" name="95895-pct_MDD" tableColumnId="23"/>
      <queryTableField id="27" name="99771-pct_CTRL" tableColumnId="29"/>
      <queryTableField id="24" name="95896-ML_approachs" tableColumnId="24"/>
      <queryTableField id="39" dataBound="0" tableColumnId="38"/>
      <queryTableField id="38" dataBound="0" tableColumnId="39"/>
      <queryTableField id="37" dataBound="0" tableColumnId="36"/>
      <queryTableField id="36" dataBound="0" tableColumnId="37"/>
      <queryTableField id="35" dataBound="0" tableColumnId="34"/>
      <queryTableField id="47" dataBound="0" tableColumnId="47"/>
      <queryTableField id="41" dataBound="0" tableColumnId="41"/>
      <queryTableField id="49" dataBound="0" tableColumnId="49"/>
      <queryTableField id="51" dataBound="0" tableColumnId="52"/>
      <queryTableField id="40" dataBound="0" tableColumnId="40"/>
      <queryTableField id="46" dataBound="0" tableColumnId="44"/>
      <queryTableField id="45" dataBound="0" tableColumnId="45"/>
      <queryTableField id="44" dataBound="0" tableColumnId="46"/>
      <queryTableField id="43" dataBound="0" tableColumnId="43"/>
      <queryTableField id="32" dataBound="0" tableColumnId="32"/>
      <queryTableField id="25" name="95897-performance" tableColumnId="25"/>
      <queryTableField id="53" dataBound="0" tableColumnId="56"/>
      <queryTableField id="55" dataBound="0" tableColumnId="58"/>
      <queryTableField id="54" dataBound="0" tableColumnId="57"/>
      <queryTableField id="52" dataBound="0" tableColumnId="55"/>
      <queryTableField id="56" dataBound="0" tableColumnId="59"/>
      <queryTableField id="26" name="95899-n_canais_eeg" tableColumnId="26"/>
      <queryTableField id="28" name="99740-resultado" tableColumnId="28"/>
      <queryTableField id="57" dataBound="0" tableColumnId="60"/>
      <queryTableField id="75" dataBound="0" tableColumnId="78"/>
      <queryTableField id="74" dataBound="0" tableColumnId="77"/>
      <queryTableField id="58" dataBound="0" tableColumnId="61"/>
      <queryTableField id="59" dataBound="0" tableColumnId="62"/>
      <queryTableField id="76" dataBound="0" tableColumnId="79"/>
      <queryTableField id="61" dataBound="0" tableColumnId="64"/>
      <queryTableField id="62" dataBound="0" tableColumnId="65"/>
      <queryTableField id="63" dataBound="0" tableColumnId="66"/>
      <queryTableField id="64" dataBound="0" tableColumnId="67"/>
      <queryTableField id="65" dataBound="0" tableColumnId="68"/>
      <queryTableField id="66" dataBound="0" tableColumnId="69"/>
      <queryTableField id="69" dataBound="0" tableColumnId="72"/>
      <queryTableField id="70" dataBound="0" tableColumnId="73"/>
      <queryTableField id="77" dataBound="0" tableColumnId="80"/>
      <queryTableField id="71" dataBound="0" tableColumnId="7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0750FA-B8D4-4E4E-BA56-79D089367383}" name="articles" displayName="articles" ref="A1:BL22" tableType="queryTable" totalsRowCount="1">
  <autoFilter ref="A1:BL21" xr:uid="{A10750FA-B8D4-4E4E-BA56-79D089367383}"/>
  <tableColumns count="64">
    <tableColumn id="1" xr3:uid="{FCF2E1ED-6656-436B-B5D2-3479C69F7DD9}" uniqueName="1" name="key" queryTableFieldId="1" dataDxfId="115" totalsRowDxfId="57"/>
    <tableColumn id="2" xr3:uid="{B7246364-3350-479C-B75C-4C6BFAC11546}" uniqueName="2" name="title" queryTableFieldId="2" dataDxfId="114" totalsRowDxfId="56"/>
    <tableColumn id="3" xr3:uid="{CFAE2527-7F11-4E29-9ECD-E13487469A59}" uniqueName="3" name="year" queryTableFieldId="3"/>
    <tableColumn id="4" xr3:uid="{0F302F2B-6121-4C47-A58B-D358AFD02F8F}" uniqueName="4" name="month" queryTableFieldId="4"/>
    <tableColumn id="5" xr3:uid="{26842A01-27F5-4F3F-B3DF-FAAF4F46BCE7}" uniqueName="5" name="day" queryTableFieldId="5"/>
    <tableColumn id="6" xr3:uid="{E35E3074-A4B4-4238-B81C-230215279D08}" uniqueName="6" name="journal" queryTableFieldId="6" dataDxfId="113" totalsRowDxfId="55"/>
    <tableColumn id="7" xr3:uid="{8030653C-E3E5-4D71-99AD-E7578173B370}" uniqueName="7" name="issn" queryTableFieldId="7" dataDxfId="112" totalsRowDxfId="54"/>
    <tableColumn id="8" xr3:uid="{5C782D30-B020-4449-8ABE-37570E4138B0}" uniqueName="8" name="volume" queryTableFieldId="8"/>
    <tableColumn id="9" xr3:uid="{A2E2AC38-3851-4613-BE76-5B09C85DC225}" uniqueName="9" name="issue" queryTableFieldId="9"/>
    <tableColumn id="10" xr3:uid="{F1D75C1B-BCF5-4367-B2CF-CE029C7067CD}" uniqueName="10" name="pages" queryTableFieldId="10" dataDxfId="111" totalsRowDxfId="53"/>
    <tableColumn id="11" xr3:uid="{B7EC25FC-B110-4217-B849-14D80997A0CF}" uniqueName="11" name="authors" queryTableFieldId="11" dataDxfId="110" totalsRowDxfId="52"/>
    <tableColumn id="12" xr3:uid="{A9D2605E-EF9F-4C61-90B7-C4E28F07E695}" uniqueName="12" name="url" queryTableFieldId="12" dataDxfId="109" totalsRowDxfId="51"/>
    <tableColumn id="13" xr3:uid="{E0EF5FE8-54A0-40C4-A062-DFA59FF93CBE}" uniqueName="13" name="language" queryTableFieldId="13" dataDxfId="108" totalsRowDxfId="50"/>
    <tableColumn id="14" xr3:uid="{4B00047A-1EE8-42BD-A1E4-BFCE1CBBA72A}" uniqueName="14" name="publisher" queryTableFieldId="14" dataDxfId="107" totalsRowDxfId="49"/>
    <tableColumn id="15" xr3:uid="{F04B1E48-85FC-4732-9004-D417255040E5}" uniqueName="15" name="location" queryTableFieldId="15" dataDxfId="106" totalsRowDxfId="48"/>
    <tableColumn id="16" xr3:uid="{920835E2-EBDF-479D-9362-BE5CA579DE1A}" uniqueName="16" name="abstract" queryTableFieldId="16" dataDxfId="105" totalsRowDxfId="47"/>
    <tableColumn id="17" xr3:uid="{86CBC5A9-0716-4637-8C43-DDDCBC68EA07}" uniqueName="17" name="notes" queryTableFieldId="17" dataDxfId="104" totalsRowDxfId="46"/>
    <tableColumn id="18" xr3:uid="{916DC01D-8DF3-47F9-96DD-17B21D96F503}" uniqueName="18" name="doi" queryTableFieldId="18" dataDxfId="103" totalsRowDxfId="45"/>
    <tableColumn id="19" xr3:uid="{8C6C609A-D4E6-42CD-876D-FD5D667D60C2}" uniqueName="19" name="keywords" queryTableFieldId="19" dataDxfId="102" totalsRowDxfId="44"/>
    <tableColumn id="20" xr3:uid="{D9B07E90-C4E7-49CC-B9BD-B6C858F57F94}" uniqueName="20" name="pubmed_id" queryTableFieldId="20"/>
    <tableColumn id="21" xr3:uid="{4F234483-2DD5-4CEA-93E8-0A4CAE24EE77}" uniqueName="21" name="pmc_id" queryTableFieldId="21" dataDxfId="101" totalsRowDxfId="43"/>
    <tableColumn id="22" xr3:uid="{5F4BF5F9-F310-4811-A89F-BF6A46552687}" uniqueName="22" name="PDF files" queryTableFieldId="22" dataDxfId="100" totalsRowDxfId="42"/>
    <tableColumn id="23" xr3:uid="{07824E8B-B642-445F-91DE-D7D445F2FD1A}" uniqueName="23" name="pct_MDD" queryTableFieldId="23" dataDxfId="99" totalsRowDxfId="41"/>
    <tableColumn id="29" xr3:uid="{79DFE345-0F79-4428-A680-93B24654080C}" uniqueName="29" name="pct_CTRL" queryTableFieldId="27" dataDxfId="98" totalsRowDxfId="40"/>
    <tableColumn id="24" xr3:uid="{46670C4C-F024-4E73-A710-2E52E23DBD54}" uniqueName="24" name="ML_approachs" queryTableFieldId="24" dataDxfId="97" totalsRowDxfId="39"/>
    <tableColumn id="38" xr3:uid="{4A8D2699-5F99-41A1-974A-A9F81FD0041C}" uniqueName="38" name="SVM" queryTableFieldId="39" dataDxfId="96" totalsRowDxfId="38">
      <calculatedColumnFormula>IF(ISNUMBER(FIND("SVM",$Y2)),1,0)</calculatedColumnFormula>
    </tableColumn>
    <tableColumn id="39" xr3:uid="{F196C623-6777-4325-AAF9-CDD8EC6D0FE8}" uniqueName="39" name="RF" queryTableFieldId="38" dataDxfId="95" totalsRowDxfId="37">
      <calculatedColumnFormula>IF(ISNUMBER(FIND("RF",$Y2)),1,0)</calculatedColumnFormula>
    </tableColumn>
    <tableColumn id="36" xr3:uid="{C99A8557-A615-41CC-9776-7E219CF5B535}" uniqueName="36" name="KNN" queryTableFieldId="37" dataDxfId="94" totalsRowDxfId="36">
      <calculatedColumnFormula>IF(ISNUMBER(FIND("KNN",$Y2)),1,0)</calculatedColumnFormula>
    </tableColumn>
    <tableColumn id="37" xr3:uid="{D0073A93-D411-436A-AA55-5C4DB3947431}" uniqueName="37" name="MLP" queryTableFieldId="36" dataDxfId="93" totalsRowDxfId="35">
      <calculatedColumnFormula>IF(ISNUMBER(FIND("MLP",$Y2)),1,0)</calculatedColumnFormula>
    </tableColumn>
    <tableColumn id="34" xr3:uid="{D5BD64DC-03EE-4A33-9F37-951BBB024CB1}" uniqueName="34" name="DT" queryTableFieldId="35" dataDxfId="92" totalsRowDxfId="34">
      <calculatedColumnFormula>IF(ISNUMBER(FIND("DT",$Y2)),1,0)</calculatedColumnFormula>
    </tableColumn>
    <tableColumn id="47" xr3:uid="{25544928-0FDF-4AE2-81C4-9B07270E0882}" uniqueName="47" name="LDA" queryTableFieldId="47" dataDxfId="91" totalsRowDxfId="33">
      <calculatedColumnFormula>IF(ISNUMBER(FIND("LDA",$Y2)),1,0)</calculatedColumnFormula>
    </tableColumn>
    <tableColumn id="41" xr3:uid="{5D5B91E6-FA6E-43DF-BDF1-2041B935A44E}" uniqueName="41" name="NB" queryTableFieldId="41" dataDxfId="90" totalsRowDxfId="32">
      <calculatedColumnFormula>IF(ISNUMBER(FIND("NB",$Y2)),1,0)</calculatedColumnFormula>
    </tableColumn>
    <tableColumn id="49" xr3:uid="{AD59E084-6444-469D-93E7-794D33AE6B07}" uniqueName="49" name="LR" queryTableFieldId="49" dataDxfId="89" totalsRowDxfId="31">
      <calculatedColumnFormula>IF(ISNUMBER(FIND("LR",$Y2)),1,0)</calculatedColumnFormula>
    </tableColumn>
    <tableColumn id="52" xr3:uid="{9E598E8A-A5B4-441A-8D35-EB516FB1204E}" uniqueName="52" name="GB" queryTableFieldId="51" dataDxfId="88" totalsRowDxfId="30">
      <calculatedColumnFormula>IF(ISNUMBER(FIND("GB",$Y2)),1,0)</calculatedColumnFormula>
    </tableColumn>
    <tableColumn id="40" xr3:uid="{17C0FD1F-13FD-4404-B4BB-2071D6DB4F85}" uniqueName="40" name="RUBOOST" queryTableFieldId="40" dataDxfId="87" totalsRowDxfId="29">
      <calculatedColumnFormula>IF(ISNUMBER(FIND("RUBOOST",$Y2)),1,0)</calculatedColumnFormula>
    </tableColumn>
    <tableColumn id="44" xr3:uid="{206F89DD-5045-4840-9474-889AF29B5515}" uniqueName="44" name="LSTM" queryTableFieldId="46" dataDxfId="86" totalsRowDxfId="28">
      <calculatedColumnFormula>IF(ISNUMBER(FIND("LSTM",$Y2)),1,0)</calculatedColumnFormula>
    </tableColumn>
    <tableColumn id="45" xr3:uid="{F36B32BA-B8EE-462B-8C9C-659B097A0328}" uniqueName="45" name="CNN" queryTableFieldId="45" dataDxfId="85" totalsRowDxfId="27">
      <calculatedColumnFormula>IF(ISNUMBER(FIND("CNN",$Y2)),1,0)</calculatedColumnFormula>
    </tableColumn>
    <tableColumn id="46" xr3:uid="{EF7FDB87-46A0-4973-A843-0907254197E6}" uniqueName="46" name="GRU" queryTableFieldId="44" dataDxfId="84" totalsRowDxfId="26">
      <calculatedColumnFormula>IF(ISNUMBER(FIND("GRU",$Y2)),1,0)</calculatedColumnFormula>
    </tableColumn>
    <tableColumn id="43" xr3:uid="{3AFAE81C-D316-4B84-9389-BA443AE9566A}" uniqueName="43" name="XGB" queryTableFieldId="43" dataDxfId="83" totalsRowDxfId="25">
      <calculatedColumnFormula>IF(ISNUMBER(FIND("XGB",$Y2)),1,0)</calculatedColumnFormula>
    </tableColumn>
    <tableColumn id="32" xr3:uid="{928EF6E8-8026-4B8C-945A-451C03F77E5E}" uniqueName="32" name="GENTLEBOOST" queryTableFieldId="32" dataDxfId="82" totalsRowDxfId="24">
      <calculatedColumnFormula>IF(ISNUMBER(FIND("GENTLEBOOST",$Y2)),1,0)</calculatedColumnFormula>
    </tableColumn>
    <tableColumn id="25" xr3:uid="{231750BF-23CA-4241-883D-AA2CDF8FAC2F}" uniqueName="25" name="95897-performance" queryTableFieldId="25" dataDxfId="81" totalsRowDxfId="23"/>
    <tableColumn id="56" xr3:uid="{98753572-88C9-46BB-8BF2-EF9965CBD248}" uniqueName="56" name="ACC_METRIC" queryTableFieldId="53" dataDxfId="80" totalsRowDxfId="22">
      <calculatedColumnFormula>IF(ISNUMBER(FIND("accuracy",$AO2)),1,0)</calculatedColumnFormula>
    </tableColumn>
    <tableColumn id="58" xr3:uid="{6E30F95A-5633-40C9-A192-E7DF1998C369}" uniqueName="58" name="SE_METRIC" queryTableFieldId="55" dataDxfId="79" totalsRowDxfId="21">
      <calculatedColumnFormula>IF(ISNUMBER(FIND("sensitivity",$AO2)),1,0)</calculatedColumnFormula>
    </tableColumn>
    <tableColumn id="57" xr3:uid="{A6618A50-3581-488E-B2EA-DE74AB8F9686}" uniqueName="57" name="SP_METRIC" queryTableFieldId="54" dataDxfId="78" totalsRowDxfId="20">
      <calculatedColumnFormula>IF(ISNUMBER(FIND("specificity",$AO2)),1,0)</calculatedColumnFormula>
    </tableColumn>
    <tableColumn id="55" xr3:uid="{54550454-7D8A-4A23-94E4-C5704B72A161}" uniqueName="55" name="F1_METRIC" queryTableFieldId="52" dataDxfId="77" totalsRowDxfId="19">
      <calculatedColumnFormula>IF(ISNUMBER(FIND("F1",$AO2)),1,0)</calculatedColumnFormula>
    </tableColumn>
    <tableColumn id="59" xr3:uid="{77576189-9061-4660-B4EF-4132C8D124DB}" uniqueName="59" name="ROC_METRIC" queryTableFieldId="56" dataDxfId="76" totalsRowDxfId="18">
      <calculatedColumnFormula>IF(ISNUMBER(FIND("ROC",$AO2)),1,0)</calculatedColumnFormula>
    </tableColumn>
    <tableColumn id="26" xr3:uid="{A05D0A2E-6860-4B48-8CB8-6FC4D98D268A}" uniqueName="26" name="n_canais_eeg" queryTableFieldId="26" dataDxfId="75" totalsRowDxfId="17"/>
    <tableColumn id="28" xr3:uid="{B2432D92-AA0F-45FB-8B69-B21C55BBFA03}" uniqueName="28" name="99740-resultado" queryTableFieldId="28" dataDxfId="74" totalsRowDxfId="16"/>
    <tableColumn id="60" xr3:uid="{C62573F8-1A87-415D-926E-D062D35AB5D4}" uniqueName="60" name="SVM_PERF" queryTableFieldId="57" dataDxfId="64" totalsRowDxfId="15"/>
    <tableColumn id="78" xr3:uid="{6DD9D79F-3527-4CCF-B9D4-732E7A7E865B}" uniqueName="78" name="LINSVM" queryTableFieldId="75" dataDxfId="60" totalsRowDxfId="14"/>
    <tableColumn id="77" xr3:uid="{D8A4C6E8-7147-4412-85C1-A0C40F5688A3}" uniqueName="77" name="RBFSVM" queryTableFieldId="74" dataDxfId="61" totalsRowDxfId="13"/>
    <tableColumn id="61" xr3:uid="{E60D156F-3464-465F-8585-326996F2E00D}" uniqueName="61" name="RF_PERF" queryTableFieldId="58" dataDxfId="62" totalsRowDxfId="12"/>
    <tableColumn id="62" xr3:uid="{292BEC99-D9AB-4872-9D19-63A60F8A4ED4}" uniqueName="62" name="KNN_PERF" queryTableFieldId="59" dataDxfId="63" totalsRowDxfId="11"/>
    <tableColumn id="79" xr3:uid="{7C3384DF-4F6F-463E-A71B-178A316AFAF5}" uniqueName="79" name="E-KNN_PERF" queryTableFieldId="76" dataDxfId="59" totalsRowDxfId="10"/>
    <tableColumn id="64" xr3:uid="{52D051E5-5A4C-4886-A6AA-8ED60A659A46}" uniqueName="64" name="DT_PERF" queryTableFieldId="61" dataDxfId="73" totalsRowDxfId="9"/>
    <tableColumn id="65" xr3:uid="{060C7453-8A22-49C8-9805-E31350C0B02A}" uniqueName="65" name="LDA_PERF" queryTableFieldId="62" dataDxfId="72" totalsRowDxfId="8"/>
    <tableColumn id="66" xr3:uid="{3E033349-67F2-483C-B277-D7E113CE28EC}" uniqueName="66" name="NB_PERF" queryTableFieldId="63" dataDxfId="71" totalsRowDxfId="7"/>
    <tableColumn id="67" xr3:uid="{8DE65AA3-FC64-4470-9395-8C88913C4687}" uniqueName="67" name="LR_PERF" queryTableFieldId="64" dataDxfId="70" totalsRowDxfId="6"/>
    <tableColumn id="68" xr3:uid="{472F4E1A-C8FE-4757-8D4F-8A351C2686FA}" uniqueName="68" name="GB_PERF" queryTableFieldId="65" dataDxfId="69" totalsRowDxfId="5"/>
    <tableColumn id="69" xr3:uid="{DB8A83DC-944A-4B49-9989-23DA878B01A2}" uniqueName="69" name="RUBOOST_PERF" queryTableFieldId="66" dataDxfId="68" totalsRowDxfId="4"/>
    <tableColumn id="72" xr3:uid="{2FF62A17-7703-407C-B769-EC082A928BFB}" uniqueName="72" name="GRU_PERF" queryTableFieldId="69" dataDxfId="67" totalsRowDxfId="3"/>
    <tableColumn id="73" xr3:uid="{BCB51575-29FE-45B0-B3E5-8DA18972568D}" uniqueName="73" name="XGB_PERF" queryTableFieldId="70" dataDxfId="66" totalsRowDxfId="2"/>
    <tableColumn id="80" xr3:uid="{B889C5E2-4686-4E65-9202-212C098D3643}" uniqueName="80" name="QDA_PERF" queryTableFieldId="77" dataDxfId="58" totalsRowDxfId="1"/>
    <tableColumn id="74" xr3:uid="{882FDCC2-A9A2-4608-B9DA-CAC393B6BA25}" uniqueName="74" name="GENTLEBOOST_PERF" queryTableFieldId="71" dataDxfId="65" totalsRow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B4E8F-9677-4C3F-B62E-D5AADE928F17}">
  <dimension ref="A1:BL22"/>
  <sheetViews>
    <sheetView topLeftCell="AM1" zoomScale="70" zoomScaleNormal="70" workbookViewId="0">
      <selection activeCell="B1" sqref="B1:BL21"/>
    </sheetView>
  </sheetViews>
  <sheetFormatPr defaultRowHeight="14.4" x14ac:dyDescent="0.3"/>
  <cols>
    <col min="1" max="1" width="67.21875" hidden="1" customWidth="1"/>
    <col min="2" max="2" width="147.44140625" bestFit="1" customWidth="1"/>
    <col min="4" max="4" width="6.21875" hidden="1" customWidth="1"/>
    <col min="5" max="5" width="67.21875" hidden="1" customWidth="1"/>
    <col min="6" max="6" width="20.109375" hidden="1" customWidth="1"/>
    <col min="7" max="7" width="9.6640625" hidden="1" customWidth="1"/>
    <col min="8" max="8" width="7.88671875" hidden="1" customWidth="1"/>
    <col min="9" max="9" width="9.6640625" hidden="1" customWidth="1"/>
    <col min="10" max="10" width="67.21875" hidden="1" customWidth="1"/>
    <col min="11" max="11" width="39.44140625" bestFit="1" customWidth="1"/>
    <col min="12" max="12" width="11" hidden="1" customWidth="1"/>
    <col min="13" max="13" width="11.5546875" hidden="1" customWidth="1"/>
    <col min="14" max="14" width="12.109375" hidden="1" customWidth="1"/>
    <col min="15" max="15" width="13.88671875" bestFit="1" customWidth="1"/>
    <col min="16" max="16" width="8.21875" hidden="1" customWidth="1"/>
    <col min="17" max="17" width="32.109375" hidden="1" customWidth="1"/>
    <col min="18" max="18" width="67.21875" hidden="1" customWidth="1"/>
    <col min="19" max="19" width="12.88671875" hidden="1" customWidth="1"/>
    <col min="20" max="20" width="12.77734375" hidden="1" customWidth="1"/>
    <col min="21" max="21" width="67.21875" hidden="1" customWidth="1"/>
    <col min="22" max="22" width="158.88671875" hidden="1" customWidth="1"/>
    <col min="23" max="23" width="16.77734375" customWidth="1"/>
    <col min="24" max="24" width="11.33203125" bestFit="1" customWidth="1"/>
    <col min="25" max="25" width="58.77734375" hidden="1" customWidth="1"/>
    <col min="26" max="31" width="10.44140625" bestFit="1" customWidth="1"/>
    <col min="32" max="39" width="10.44140625" customWidth="1"/>
    <col min="40" max="40" width="16.21875" bestFit="1" customWidth="1"/>
    <col min="41" max="41" width="105.5546875" hidden="1" customWidth="1"/>
    <col min="42" max="42" width="10.44140625" bestFit="1" customWidth="1"/>
    <col min="43" max="44" width="10.44140625" customWidth="1"/>
    <col min="45" max="45" width="10.44140625" bestFit="1" customWidth="1"/>
    <col min="46" max="46" width="10.44140625" customWidth="1"/>
    <col min="47" max="47" width="17.109375" bestFit="1" customWidth="1"/>
    <col min="48" max="48" width="74.33203125" hidden="1" customWidth="1"/>
    <col min="49" max="58" width="8.88671875" customWidth="1"/>
  </cols>
  <sheetData>
    <row r="1" spans="1:6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277</v>
      </c>
      <c r="X1" t="s">
        <v>278</v>
      </c>
      <c r="Y1" t="s">
        <v>296</v>
      </c>
      <c r="Z1" t="s">
        <v>279</v>
      </c>
      <c r="AA1" t="s">
        <v>280</v>
      </c>
      <c r="AB1" t="s">
        <v>282</v>
      </c>
      <c r="AC1" t="s">
        <v>283</v>
      </c>
      <c r="AD1" t="s">
        <v>285</v>
      </c>
      <c r="AE1" t="s">
        <v>294</v>
      </c>
      <c r="AF1" t="s">
        <v>286</v>
      </c>
      <c r="AG1" t="s">
        <v>281</v>
      </c>
      <c r="AH1" t="s">
        <v>289</v>
      </c>
      <c r="AI1" t="s">
        <v>287</v>
      </c>
      <c r="AJ1" t="s">
        <v>291</v>
      </c>
      <c r="AK1" t="s">
        <v>292</v>
      </c>
      <c r="AL1" t="s">
        <v>293</v>
      </c>
      <c r="AM1" t="s">
        <v>290</v>
      </c>
      <c r="AN1" t="s">
        <v>288</v>
      </c>
      <c r="AO1" t="s">
        <v>22</v>
      </c>
      <c r="AP1" t="s">
        <v>315</v>
      </c>
      <c r="AQ1" t="s">
        <v>316</v>
      </c>
      <c r="AR1" t="s">
        <v>317</v>
      </c>
      <c r="AS1" t="s">
        <v>318</v>
      </c>
      <c r="AT1" t="s">
        <v>319</v>
      </c>
      <c r="AU1" t="s">
        <v>297</v>
      </c>
      <c r="AV1" t="s">
        <v>23</v>
      </c>
      <c r="AW1" t="s">
        <v>298</v>
      </c>
      <c r="AX1" t="s">
        <v>284</v>
      </c>
      <c r="AY1" t="s">
        <v>295</v>
      </c>
      <c r="AZ1" t="s">
        <v>299</v>
      </c>
      <c r="BA1" t="s">
        <v>300</v>
      </c>
      <c r="BB1" t="s">
        <v>311</v>
      </c>
      <c r="BC1" t="s">
        <v>301</v>
      </c>
      <c r="BD1" t="s">
        <v>302</v>
      </c>
      <c r="BE1" t="s">
        <v>303</v>
      </c>
      <c r="BF1" t="s">
        <v>304</v>
      </c>
      <c r="BG1" t="s">
        <v>305</v>
      </c>
      <c r="BH1" t="s">
        <v>306</v>
      </c>
      <c r="BI1" t="s">
        <v>307</v>
      </c>
      <c r="BJ1" t="s">
        <v>308</v>
      </c>
      <c r="BK1" t="s">
        <v>314</v>
      </c>
      <c r="BL1" t="s">
        <v>309</v>
      </c>
    </row>
    <row r="2" spans="1:64" ht="15" x14ac:dyDescent="0.3">
      <c r="A2" s="1" t="s">
        <v>24</v>
      </c>
      <c r="B2" s="1" t="s">
        <v>25</v>
      </c>
      <c r="C2">
        <v>2023</v>
      </c>
      <c r="D2">
        <v>7</v>
      </c>
      <c r="F2" s="1" t="s">
        <v>26</v>
      </c>
      <c r="G2" s="1" t="s">
        <v>27</v>
      </c>
      <c r="H2">
        <v>332</v>
      </c>
      <c r="J2" s="1" t="s">
        <v>28</v>
      </c>
      <c r="K2" s="1" t="s">
        <v>29</v>
      </c>
      <c r="L2" s="1" t="s">
        <v>30</v>
      </c>
      <c r="M2" s="1" t="s">
        <v>31</v>
      </c>
      <c r="N2" s="1" t="s">
        <v>32</v>
      </c>
      <c r="O2" s="1" t="s">
        <v>33</v>
      </c>
      <c r="P2" s="1" t="s">
        <v>32</v>
      </c>
      <c r="Q2" s="1" t="s">
        <v>32</v>
      </c>
      <c r="R2" s="1" t="s">
        <v>34</v>
      </c>
      <c r="S2" s="1" t="s">
        <v>35</v>
      </c>
      <c r="T2">
        <v>37054495</v>
      </c>
      <c r="U2" s="1" t="s">
        <v>32</v>
      </c>
      <c r="V2" s="1" t="s">
        <v>36</v>
      </c>
      <c r="W2" s="1">
        <v>40</v>
      </c>
      <c r="X2" s="1">
        <v>60</v>
      </c>
      <c r="Y2" s="1" t="s">
        <v>37</v>
      </c>
      <c r="Z2" s="2">
        <f>IF(ISNUMBER(FIND("SVM",$Y2)),1,0)</f>
        <v>1</v>
      </c>
      <c r="AA2" s="2">
        <f t="shared" ref="AA2:AA21" si="0">IF(ISNUMBER(FIND("RF",$Y2)),1,0)</f>
        <v>0</v>
      </c>
      <c r="AB2" s="2">
        <f t="shared" ref="AB2:AB21" si="1">IF(ISNUMBER(FIND("KNN",$Y2)),1,0)</f>
        <v>0</v>
      </c>
      <c r="AC2" s="2">
        <f t="shared" ref="AC2:AC21" si="2">IF(ISNUMBER(FIND("MLP",$Y2)),1,0)</f>
        <v>0</v>
      </c>
      <c r="AD2" s="2">
        <f t="shared" ref="AD2:AD21" si="3">IF(ISNUMBER(FIND("DT",$Y2)),1,0)</f>
        <v>0</v>
      </c>
      <c r="AE2" s="2">
        <f t="shared" ref="AE2:AE21" si="4">IF(ISNUMBER(FIND("LDA",$Y2)),1,0)</f>
        <v>0</v>
      </c>
      <c r="AF2" s="2">
        <f t="shared" ref="AF2:AF21" si="5">IF(ISNUMBER(FIND("NB",$Y2)),1,0)</f>
        <v>0</v>
      </c>
      <c r="AG2" s="2">
        <f t="shared" ref="AG2:AG21" si="6">IF(ISNUMBER(FIND("LR",$Y2)),1,0)</f>
        <v>0</v>
      </c>
      <c r="AH2" s="2">
        <f t="shared" ref="AH2:AH21" si="7">IF(ISNUMBER(FIND("GB",$Y2)),1,0)</f>
        <v>0</v>
      </c>
      <c r="AI2" s="2">
        <f t="shared" ref="AI2:AI21" si="8">IF(ISNUMBER(FIND("RUBOOST",$Y2)),1,0)</f>
        <v>0</v>
      </c>
      <c r="AJ2" s="2">
        <f t="shared" ref="AJ2:AJ21" si="9">IF(ISNUMBER(FIND("LSTM",$Y2)),1,0)</f>
        <v>0</v>
      </c>
      <c r="AK2" s="2">
        <f t="shared" ref="AK2:AK21" si="10">IF(ISNUMBER(FIND("CNN",$Y2)),1,0)</f>
        <v>0</v>
      </c>
      <c r="AL2" s="2">
        <f t="shared" ref="AL2:AL21" si="11">IF(ISNUMBER(FIND("GRU",$Y2)),1,0)</f>
        <v>0</v>
      </c>
      <c r="AM2" s="2">
        <f t="shared" ref="AM2:AM21" si="12">IF(ISNUMBER(FIND("XGB",$Y2)),1,0)</f>
        <v>0</v>
      </c>
      <c r="AN2" s="2">
        <f t="shared" ref="AN2:AN21" si="13">IF(ISNUMBER(FIND("GENTLEBOOST",$Y2)),1,0)</f>
        <v>0</v>
      </c>
      <c r="AO2" s="1" t="s">
        <v>38</v>
      </c>
      <c r="AP2" s="1">
        <f t="shared" ref="AP2:AP21" si="14">IF(ISNUMBER(FIND("accuracy",$AO2)),1,0)</f>
        <v>1</v>
      </c>
      <c r="AQ2" s="1">
        <f t="shared" ref="AQ2:AQ21" si="15">IF(ISNUMBER(FIND("sensitivity",$AO2)),1,0)</f>
        <v>0</v>
      </c>
      <c r="AR2" s="1">
        <f t="shared" ref="AR2:AR21" si="16">IF(ISNUMBER(FIND("specificity",$AO2)),1,0)</f>
        <v>0</v>
      </c>
      <c r="AS2" s="1">
        <f t="shared" ref="AS2:AS21" si="17">IF(ISNUMBER(FIND("F1",$AO2)),1,0)</f>
        <v>0</v>
      </c>
      <c r="AT2" s="1">
        <f t="shared" ref="AT2:AT21" si="18">IF(ISNUMBER(FIND("ROC",$AO2)),1,0)</f>
        <v>0</v>
      </c>
      <c r="AU2" s="1">
        <v>2</v>
      </c>
      <c r="AV2" s="1" t="s">
        <v>39</v>
      </c>
      <c r="AW2" s="1">
        <v>90</v>
      </c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</row>
    <row r="3" spans="1:64" ht="15" x14ac:dyDescent="0.3">
      <c r="A3" s="1" t="s">
        <v>40</v>
      </c>
      <c r="B3" s="1" t="s">
        <v>41</v>
      </c>
      <c r="C3">
        <v>2022</v>
      </c>
      <c r="D3">
        <v>7</v>
      </c>
      <c r="F3" s="1" t="s">
        <v>42</v>
      </c>
      <c r="G3" s="1" t="s">
        <v>43</v>
      </c>
      <c r="H3">
        <v>2022</v>
      </c>
      <c r="J3" s="1" t="s">
        <v>44</v>
      </c>
      <c r="K3" s="1" t="s">
        <v>45</v>
      </c>
      <c r="L3" s="1" t="s">
        <v>46</v>
      </c>
      <c r="M3" s="1" t="s">
        <v>31</v>
      </c>
      <c r="N3" s="1" t="s">
        <v>32</v>
      </c>
      <c r="O3" s="1" t="s">
        <v>47</v>
      </c>
      <c r="P3" s="1" t="s">
        <v>32</v>
      </c>
      <c r="Q3" s="1" t="s">
        <v>32</v>
      </c>
      <c r="R3" s="1" t="s">
        <v>48</v>
      </c>
      <c r="S3" s="1" t="s">
        <v>49</v>
      </c>
      <c r="T3">
        <v>36085796</v>
      </c>
      <c r="U3" s="1" t="s">
        <v>32</v>
      </c>
      <c r="V3" s="1" t="s">
        <v>50</v>
      </c>
      <c r="W3" s="1">
        <v>71</v>
      </c>
      <c r="X3" s="1">
        <v>71</v>
      </c>
      <c r="Y3" s="1" t="s">
        <v>51</v>
      </c>
      <c r="Z3" s="2">
        <f t="shared" ref="Z3:Z21" si="19">IF(ISNUMBER(FIND("SVM",$Y3)),1,0)</f>
        <v>1</v>
      </c>
      <c r="AA3" s="2">
        <f t="shared" si="0"/>
        <v>1</v>
      </c>
      <c r="AB3" s="2">
        <f t="shared" si="1"/>
        <v>1</v>
      </c>
      <c r="AC3" s="2">
        <f t="shared" si="2"/>
        <v>0</v>
      </c>
      <c r="AD3" s="2">
        <f t="shared" si="3"/>
        <v>0</v>
      </c>
      <c r="AE3" s="2">
        <f t="shared" si="4"/>
        <v>0</v>
      </c>
      <c r="AF3" s="2">
        <f t="shared" si="5"/>
        <v>0</v>
      </c>
      <c r="AG3" s="2">
        <f t="shared" si="6"/>
        <v>0</v>
      </c>
      <c r="AH3" s="2">
        <f t="shared" si="7"/>
        <v>0</v>
      </c>
      <c r="AI3" s="2">
        <f t="shared" si="8"/>
        <v>0</v>
      </c>
      <c r="AJ3" s="2">
        <f t="shared" si="9"/>
        <v>0</v>
      </c>
      <c r="AK3" s="2">
        <f t="shared" si="10"/>
        <v>0</v>
      </c>
      <c r="AL3" s="2">
        <f t="shared" si="11"/>
        <v>0</v>
      </c>
      <c r="AM3" s="2">
        <f t="shared" si="12"/>
        <v>0</v>
      </c>
      <c r="AN3" s="2">
        <f t="shared" si="13"/>
        <v>0</v>
      </c>
      <c r="AO3" s="1" t="s">
        <v>52</v>
      </c>
      <c r="AP3" s="1">
        <f t="shared" si="14"/>
        <v>1</v>
      </c>
      <c r="AQ3" s="1">
        <f t="shared" si="15"/>
        <v>1</v>
      </c>
      <c r="AR3" s="1">
        <f t="shared" si="16"/>
        <v>1</v>
      </c>
      <c r="AS3" s="1">
        <f t="shared" si="17"/>
        <v>0</v>
      </c>
      <c r="AT3" s="1">
        <f t="shared" si="18"/>
        <v>0</v>
      </c>
      <c r="AU3" s="1">
        <v>42</v>
      </c>
      <c r="AV3" s="1" t="s">
        <v>310</v>
      </c>
      <c r="AW3" s="1">
        <v>83</v>
      </c>
      <c r="AX3" s="1"/>
      <c r="AY3" s="1"/>
      <c r="AZ3" s="1">
        <v>83</v>
      </c>
      <c r="BA3" s="1">
        <v>83</v>
      </c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</row>
    <row r="4" spans="1:64" ht="15" x14ac:dyDescent="0.3">
      <c r="A4" s="1" t="s">
        <v>53</v>
      </c>
      <c r="B4" s="1" t="s">
        <v>54</v>
      </c>
      <c r="C4">
        <v>2024</v>
      </c>
      <c r="D4">
        <v>8</v>
      </c>
      <c r="F4" s="1" t="s">
        <v>55</v>
      </c>
      <c r="G4" s="1" t="s">
        <v>56</v>
      </c>
      <c r="H4">
        <v>164</v>
      </c>
      <c r="J4" s="1" t="s">
        <v>57</v>
      </c>
      <c r="K4" s="1" t="s">
        <v>58</v>
      </c>
      <c r="L4" s="1" t="s">
        <v>59</v>
      </c>
      <c r="M4" s="1" t="s">
        <v>31</v>
      </c>
      <c r="N4" s="1" t="s">
        <v>32</v>
      </c>
      <c r="O4" s="1" t="s">
        <v>33</v>
      </c>
      <c r="P4" s="1" t="s">
        <v>32</v>
      </c>
      <c r="Q4" s="1" t="s">
        <v>32</v>
      </c>
      <c r="R4" s="1" t="s">
        <v>60</v>
      </c>
      <c r="S4" s="1" t="s">
        <v>61</v>
      </c>
      <c r="T4">
        <v>38870669</v>
      </c>
      <c r="U4" s="1" t="s">
        <v>32</v>
      </c>
      <c r="V4" s="1" t="s">
        <v>62</v>
      </c>
      <c r="W4" s="1">
        <v>24</v>
      </c>
      <c r="X4" s="1">
        <v>25</v>
      </c>
      <c r="Y4" s="1" t="s">
        <v>63</v>
      </c>
      <c r="Z4" s="2">
        <f t="shared" si="19"/>
        <v>0</v>
      </c>
      <c r="AA4" s="2">
        <f t="shared" si="0"/>
        <v>1</v>
      </c>
      <c r="AB4" s="2">
        <f t="shared" si="1"/>
        <v>0</v>
      </c>
      <c r="AC4" s="2">
        <f t="shared" si="2"/>
        <v>0</v>
      </c>
      <c r="AD4" s="2">
        <f t="shared" si="3"/>
        <v>0</v>
      </c>
      <c r="AE4" s="2">
        <f t="shared" si="4"/>
        <v>0</v>
      </c>
      <c r="AF4" s="2">
        <f t="shared" si="5"/>
        <v>0</v>
      </c>
      <c r="AG4" s="2">
        <f t="shared" si="6"/>
        <v>0</v>
      </c>
      <c r="AH4" s="2">
        <f t="shared" si="7"/>
        <v>0</v>
      </c>
      <c r="AI4" s="2">
        <f t="shared" si="8"/>
        <v>0</v>
      </c>
      <c r="AJ4" s="2">
        <f t="shared" si="9"/>
        <v>0</v>
      </c>
      <c r="AK4" s="2">
        <f t="shared" si="10"/>
        <v>0</v>
      </c>
      <c r="AL4" s="2">
        <f t="shared" si="11"/>
        <v>0</v>
      </c>
      <c r="AM4" s="2">
        <f t="shared" si="12"/>
        <v>0</v>
      </c>
      <c r="AN4" s="2">
        <f t="shared" si="13"/>
        <v>0</v>
      </c>
      <c r="AO4" s="1" t="s">
        <v>64</v>
      </c>
      <c r="AP4" s="1">
        <f t="shared" si="14"/>
        <v>1</v>
      </c>
      <c r="AQ4" s="1">
        <f t="shared" si="15"/>
        <v>0</v>
      </c>
      <c r="AR4" s="1">
        <f t="shared" si="16"/>
        <v>0</v>
      </c>
      <c r="AS4" s="1">
        <f t="shared" si="17"/>
        <v>1</v>
      </c>
      <c r="AT4" s="1">
        <f t="shared" si="18"/>
        <v>1</v>
      </c>
      <c r="AU4" s="1">
        <v>19</v>
      </c>
      <c r="AV4" s="1" t="s">
        <v>65</v>
      </c>
      <c r="AW4" s="1"/>
      <c r="AX4" s="1"/>
      <c r="AY4" s="1"/>
      <c r="AZ4" s="1">
        <v>60</v>
      </c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</row>
    <row r="5" spans="1:64" ht="15" x14ac:dyDescent="0.3">
      <c r="A5" s="1" t="s">
        <v>66</v>
      </c>
      <c r="B5" s="1" t="s">
        <v>67</v>
      </c>
      <c r="C5">
        <v>2023</v>
      </c>
      <c r="D5">
        <v>10</v>
      </c>
      <c r="E5">
        <v>1</v>
      </c>
      <c r="F5" s="1" t="s">
        <v>68</v>
      </c>
      <c r="G5" s="1" t="s">
        <v>69</v>
      </c>
      <c r="H5">
        <v>338</v>
      </c>
      <c r="J5" s="1" t="s">
        <v>70</v>
      </c>
      <c r="K5" s="1" t="s">
        <v>71</v>
      </c>
      <c r="L5" s="1" t="s">
        <v>72</v>
      </c>
      <c r="M5" s="1" t="s">
        <v>31</v>
      </c>
      <c r="N5" s="1" t="s">
        <v>32</v>
      </c>
      <c r="O5" s="1" t="s">
        <v>33</v>
      </c>
      <c r="P5" s="1" t="s">
        <v>32</v>
      </c>
      <c r="Q5" s="1" t="s">
        <v>32</v>
      </c>
      <c r="R5" s="1" t="s">
        <v>73</v>
      </c>
      <c r="S5" s="1" t="s">
        <v>74</v>
      </c>
      <c r="T5">
        <v>37302509</v>
      </c>
      <c r="U5" s="1" t="s">
        <v>32</v>
      </c>
      <c r="V5" s="1" t="s">
        <v>75</v>
      </c>
      <c r="W5" s="1">
        <v>49</v>
      </c>
      <c r="X5" s="1">
        <v>49</v>
      </c>
      <c r="Y5" s="1" t="s">
        <v>37</v>
      </c>
      <c r="Z5" s="2">
        <f t="shared" si="19"/>
        <v>1</v>
      </c>
      <c r="AA5" s="2">
        <f t="shared" si="0"/>
        <v>0</v>
      </c>
      <c r="AB5" s="2">
        <f t="shared" si="1"/>
        <v>0</v>
      </c>
      <c r="AC5" s="2">
        <f t="shared" si="2"/>
        <v>0</v>
      </c>
      <c r="AD5" s="2">
        <f t="shared" si="3"/>
        <v>0</v>
      </c>
      <c r="AE5" s="2">
        <f t="shared" si="4"/>
        <v>0</v>
      </c>
      <c r="AF5" s="2">
        <f t="shared" si="5"/>
        <v>0</v>
      </c>
      <c r="AG5" s="2">
        <f t="shared" si="6"/>
        <v>0</v>
      </c>
      <c r="AH5" s="2">
        <f t="shared" si="7"/>
        <v>0</v>
      </c>
      <c r="AI5" s="2">
        <f t="shared" si="8"/>
        <v>0</v>
      </c>
      <c r="AJ5" s="2">
        <f t="shared" si="9"/>
        <v>0</v>
      </c>
      <c r="AK5" s="2">
        <f t="shared" si="10"/>
        <v>0</v>
      </c>
      <c r="AL5" s="2">
        <f t="shared" si="11"/>
        <v>0</v>
      </c>
      <c r="AM5" s="2">
        <f t="shared" si="12"/>
        <v>0</v>
      </c>
      <c r="AN5" s="2">
        <f t="shared" si="13"/>
        <v>0</v>
      </c>
      <c r="AO5" s="1" t="s">
        <v>76</v>
      </c>
      <c r="AP5" s="1">
        <f t="shared" si="14"/>
        <v>1</v>
      </c>
      <c r="AQ5" s="1">
        <f t="shared" si="15"/>
        <v>1</v>
      </c>
      <c r="AR5" s="1">
        <f t="shared" si="16"/>
        <v>1</v>
      </c>
      <c r="AS5" s="1">
        <f t="shared" si="17"/>
        <v>0</v>
      </c>
      <c r="AT5" s="1">
        <f t="shared" si="18"/>
        <v>0</v>
      </c>
      <c r="AU5" s="1">
        <v>64</v>
      </c>
      <c r="AV5" s="1" t="s">
        <v>77</v>
      </c>
      <c r="AW5" s="1">
        <v>83</v>
      </c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</row>
    <row r="6" spans="1:64" ht="15" x14ac:dyDescent="0.3">
      <c r="A6" s="1" t="s">
        <v>78</v>
      </c>
      <c r="B6" s="1" t="s">
        <v>79</v>
      </c>
      <c r="C6">
        <v>2020</v>
      </c>
      <c r="D6">
        <v>9</v>
      </c>
      <c r="F6" s="1" t="s">
        <v>80</v>
      </c>
      <c r="G6" s="1" t="s">
        <v>81</v>
      </c>
      <c r="H6">
        <v>43</v>
      </c>
      <c r="I6">
        <v>3</v>
      </c>
      <c r="J6" s="1" t="s">
        <v>82</v>
      </c>
      <c r="K6" s="1" t="s">
        <v>83</v>
      </c>
      <c r="L6" s="1" t="s">
        <v>84</v>
      </c>
      <c r="M6" s="1" t="s">
        <v>31</v>
      </c>
      <c r="N6" s="1" t="s">
        <v>32</v>
      </c>
      <c r="O6" s="1" t="s">
        <v>85</v>
      </c>
      <c r="P6" s="1" t="s">
        <v>32</v>
      </c>
      <c r="Q6" s="1" t="s">
        <v>32</v>
      </c>
      <c r="R6" s="1" t="s">
        <v>86</v>
      </c>
      <c r="S6" s="1" t="s">
        <v>87</v>
      </c>
      <c r="T6">
        <v>32662038</v>
      </c>
      <c r="U6" s="1" t="s">
        <v>32</v>
      </c>
      <c r="V6" s="1" t="s">
        <v>88</v>
      </c>
      <c r="W6" s="1">
        <v>34</v>
      </c>
      <c r="X6" s="1">
        <v>30</v>
      </c>
      <c r="Y6" s="1" t="s">
        <v>89</v>
      </c>
      <c r="Z6" s="2">
        <f t="shared" si="19"/>
        <v>1</v>
      </c>
      <c r="AA6" s="2">
        <f t="shared" si="0"/>
        <v>0</v>
      </c>
      <c r="AB6" s="2">
        <f t="shared" si="1"/>
        <v>1</v>
      </c>
      <c r="AC6" s="2">
        <f t="shared" si="2"/>
        <v>1</v>
      </c>
      <c r="AD6" s="2">
        <f t="shared" si="3"/>
        <v>0</v>
      </c>
      <c r="AE6" s="2">
        <f t="shared" si="4"/>
        <v>0</v>
      </c>
      <c r="AF6" s="2">
        <f t="shared" si="5"/>
        <v>0</v>
      </c>
      <c r="AG6" s="2">
        <f t="shared" si="6"/>
        <v>0</v>
      </c>
      <c r="AH6" s="2">
        <f t="shared" si="7"/>
        <v>0</v>
      </c>
      <c r="AI6" s="2">
        <f t="shared" si="8"/>
        <v>0</v>
      </c>
      <c r="AJ6" s="2">
        <f t="shared" si="9"/>
        <v>0</v>
      </c>
      <c r="AK6" s="2">
        <f t="shared" si="10"/>
        <v>0</v>
      </c>
      <c r="AL6" s="2">
        <f t="shared" si="11"/>
        <v>0</v>
      </c>
      <c r="AM6" s="2">
        <f t="shared" si="12"/>
        <v>0</v>
      </c>
      <c r="AN6" s="2">
        <f t="shared" si="13"/>
        <v>0</v>
      </c>
      <c r="AO6" s="1" t="s">
        <v>90</v>
      </c>
      <c r="AP6" s="1">
        <f t="shared" si="14"/>
        <v>1</v>
      </c>
      <c r="AQ6" s="1">
        <f t="shared" si="15"/>
        <v>1</v>
      </c>
      <c r="AR6" s="1">
        <f t="shared" si="16"/>
        <v>1</v>
      </c>
      <c r="AS6" s="1">
        <f t="shared" si="17"/>
        <v>0</v>
      </c>
      <c r="AT6" s="1">
        <f t="shared" si="18"/>
        <v>0</v>
      </c>
      <c r="AU6" s="1">
        <v>19</v>
      </c>
      <c r="AV6" s="1" t="s">
        <v>91</v>
      </c>
      <c r="AW6" s="1">
        <v>96</v>
      </c>
      <c r="AX6" s="1"/>
      <c r="AY6" s="1"/>
      <c r="AZ6" s="1"/>
      <c r="BA6" s="1">
        <v>88</v>
      </c>
      <c r="BB6" s="1">
        <v>97</v>
      </c>
      <c r="BC6" s="1"/>
      <c r="BD6" s="1"/>
      <c r="BE6" s="1"/>
      <c r="BF6" s="1"/>
      <c r="BG6" s="1"/>
      <c r="BH6" s="1"/>
      <c r="BI6" s="1"/>
      <c r="BJ6" s="1"/>
      <c r="BK6" s="1"/>
      <c r="BL6" s="1"/>
    </row>
    <row r="7" spans="1:64" ht="15" x14ac:dyDescent="0.3">
      <c r="A7" s="1" t="s">
        <v>92</v>
      </c>
      <c r="B7" s="1" t="s">
        <v>93</v>
      </c>
      <c r="C7">
        <v>2025</v>
      </c>
      <c r="D7">
        <v>12</v>
      </c>
      <c r="F7" s="1" t="s">
        <v>94</v>
      </c>
      <c r="G7" s="1" t="s">
        <v>95</v>
      </c>
      <c r="H7">
        <v>35</v>
      </c>
      <c r="I7">
        <v>10</v>
      </c>
      <c r="J7" s="1" t="s">
        <v>96</v>
      </c>
      <c r="K7" s="1" t="s">
        <v>97</v>
      </c>
      <c r="L7" s="1" t="s">
        <v>98</v>
      </c>
      <c r="M7" s="1" t="s">
        <v>31</v>
      </c>
      <c r="N7" s="1" t="s">
        <v>32</v>
      </c>
      <c r="O7" s="1" t="s">
        <v>47</v>
      </c>
      <c r="P7" s="1" t="s">
        <v>32</v>
      </c>
      <c r="Q7" s="1" t="s">
        <v>32</v>
      </c>
      <c r="R7" s="1" t="s">
        <v>99</v>
      </c>
      <c r="S7" s="1" t="s">
        <v>100</v>
      </c>
      <c r="T7">
        <v>40785447</v>
      </c>
      <c r="U7" s="1" t="s">
        <v>32</v>
      </c>
      <c r="V7" s="1" t="s">
        <v>101</v>
      </c>
      <c r="W7" s="1">
        <v>28</v>
      </c>
      <c r="X7" s="1">
        <v>27</v>
      </c>
      <c r="Y7" s="1" t="s">
        <v>63</v>
      </c>
      <c r="Z7" s="2">
        <f t="shared" si="19"/>
        <v>0</v>
      </c>
      <c r="AA7" s="2">
        <f t="shared" si="0"/>
        <v>1</v>
      </c>
      <c r="AB7" s="2">
        <f t="shared" si="1"/>
        <v>0</v>
      </c>
      <c r="AC7" s="2">
        <f t="shared" si="2"/>
        <v>0</v>
      </c>
      <c r="AD7" s="2">
        <f t="shared" si="3"/>
        <v>0</v>
      </c>
      <c r="AE7" s="2">
        <f t="shared" si="4"/>
        <v>0</v>
      </c>
      <c r="AF7" s="2">
        <f t="shared" si="5"/>
        <v>0</v>
      </c>
      <c r="AG7" s="2">
        <f t="shared" si="6"/>
        <v>0</v>
      </c>
      <c r="AH7" s="2">
        <f t="shared" si="7"/>
        <v>0</v>
      </c>
      <c r="AI7" s="2">
        <f t="shared" si="8"/>
        <v>0</v>
      </c>
      <c r="AJ7" s="2">
        <f t="shared" si="9"/>
        <v>0</v>
      </c>
      <c r="AK7" s="2">
        <f t="shared" si="10"/>
        <v>0</v>
      </c>
      <c r="AL7" s="2">
        <f t="shared" si="11"/>
        <v>0</v>
      </c>
      <c r="AM7" s="2">
        <f t="shared" si="12"/>
        <v>0</v>
      </c>
      <c r="AN7" s="2">
        <f t="shared" si="13"/>
        <v>0</v>
      </c>
      <c r="AO7" s="1" t="s">
        <v>102</v>
      </c>
      <c r="AP7" s="1">
        <f t="shared" si="14"/>
        <v>0</v>
      </c>
      <c r="AQ7" s="1">
        <f t="shared" si="15"/>
        <v>1</v>
      </c>
      <c r="AR7" s="1">
        <f t="shared" si="16"/>
        <v>1</v>
      </c>
      <c r="AS7" s="1">
        <f t="shared" si="17"/>
        <v>0</v>
      </c>
      <c r="AT7" s="1">
        <f t="shared" si="18"/>
        <v>1</v>
      </c>
      <c r="AU7" s="1">
        <v>32</v>
      </c>
      <c r="AV7" s="1" t="s">
        <v>103</v>
      </c>
      <c r="AW7" s="1"/>
      <c r="AX7" s="1"/>
      <c r="AY7" s="1"/>
      <c r="AZ7" s="1">
        <v>65</v>
      </c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</row>
    <row r="8" spans="1:64" ht="15" x14ac:dyDescent="0.3">
      <c r="A8" s="1" t="s">
        <v>104</v>
      </c>
      <c r="B8" s="1" t="s">
        <v>105</v>
      </c>
      <c r="C8">
        <v>2024</v>
      </c>
      <c r="D8">
        <v>4</v>
      </c>
      <c r="F8" s="1" t="s">
        <v>106</v>
      </c>
      <c r="G8" s="1" t="s">
        <v>107</v>
      </c>
      <c r="H8">
        <v>29</v>
      </c>
      <c r="I8">
        <v>4</v>
      </c>
      <c r="J8" s="1" t="s">
        <v>108</v>
      </c>
      <c r="K8" s="1" t="s">
        <v>109</v>
      </c>
      <c r="L8" s="1" t="s">
        <v>110</v>
      </c>
      <c r="M8" s="1" t="s">
        <v>31</v>
      </c>
      <c r="N8" s="1" t="s">
        <v>32</v>
      </c>
      <c r="O8" s="1" t="s">
        <v>111</v>
      </c>
      <c r="P8" s="1" t="s">
        <v>32</v>
      </c>
      <c r="Q8" s="1" t="s">
        <v>32</v>
      </c>
      <c r="R8" s="1" t="s">
        <v>112</v>
      </c>
      <c r="S8" s="1" t="s">
        <v>113</v>
      </c>
      <c r="T8">
        <v>38267620</v>
      </c>
      <c r="U8" s="1" t="s">
        <v>32</v>
      </c>
      <c r="V8" s="1" t="s">
        <v>114</v>
      </c>
      <c r="W8" s="1">
        <v>152</v>
      </c>
      <c r="X8" s="1">
        <v>197</v>
      </c>
      <c r="Y8" s="1" t="s">
        <v>63</v>
      </c>
      <c r="Z8" s="2">
        <f t="shared" si="19"/>
        <v>0</v>
      </c>
      <c r="AA8" s="2">
        <f t="shared" si="0"/>
        <v>1</v>
      </c>
      <c r="AB8" s="2">
        <f t="shared" si="1"/>
        <v>0</v>
      </c>
      <c r="AC8" s="2">
        <f t="shared" si="2"/>
        <v>0</v>
      </c>
      <c r="AD8" s="2">
        <f t="shared" si="3"/>
        <v>0</v>
      </c>
      <c r="AE8" s="2">
        <f t="shared" si="4"/>
        <v>0</v>
      </c>
      <c r="AF8" s="2">
        <f t="shared" si="5"/>
        <v>0</v>
      </c>
      <c r="AG8" s="2">
        <f t="shared" si="6"/>
        <v>0</v>
      </c>
      <c r="AH8" s="2">
        <f t="shared" si="7"/>
        <v>0</v>
      </c>
      <c r="AI8" s="2">
        <f t="shared" si="8"/>
        <v>0</v>
      </c>
      <c r="AJ8" s="2">
        <f t="shared" si="9"/>
        <v>0</v>
      </c>
      <c r="AK8" s="2">
        <f t="shared" si="10"/>
        <v>0</v>
      </c>
      <c r="AL8" s="2">
        <f t="shared" si="11"/>
        <v>0</v>
      </c>
      <c r="AM8" s="2">
        <f t="shared" si="12"/>
        <v>0</v>
      </c>
      <c r="AN8" s="2">
        <f t="shared" si="13"/>
        <v>0</v>
      </c>
      <c r="AO8" s="1" t="s">
        <v>115</v>
      </c>
      <c r="AP8" s="1">
        <f t="shared" si="14"/>
        <v>1</v>
      </c>
      <c r="AQ8" s="1">
        <f t="shared" si="15"/>
        <v>1</v>
      </c>
      <c r="AR8" s="1">
        <f t="shared" si="16"/>
        <v>1</v>
      </c>
      <c r="AS8" s="1">
        <f t="shared" si="17"/>
        <v>1</v>
      </c>
      <c r="AT8" s="1">
        <f t="shared" si="18"/>
        <v>0</v>
      </c>
      <c r="AU8" s="1">
        <v>21</v>
      </c>
      <c r="AV8" s="1" t="s">
        <v>116</v>
      </c>
      <c r="AW8" s="1"/>
      <c r="AX8" s="1"/>
      <c r="AY8" s="1"/>
      <c r="AZ8" s="1">
        <v>75</v>
      </c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</row>
    <row r="9" spans="1:64" ht="15" x14ac:dyDescent="0.3">
      <c r="A9" s="1" t="s">
        <v>117</v>
      </c>
      <c r="B9" s="1" t="s">
        <v>118</v>
      </c>
      <c r="C9">
        <v>2021</v>
      </c>
      <c r="D9">
        <v>7</v>
      </c>
      <c r="E9">
        <v>1</v>
      </c>
      <c r="F9" s="1" t="s">
        <v>119</v>
      </c>
      <c r="G9" s="1" t="s">
        <v>120</v>
      </c>
      <c r="H9">
        <v>358</v>
      </c>
      <c r="J9" s="1" t="s">
        <v>121</v>
      </c>
      <c r="K9" s="1" t="s">
        <v>122</v>
      </c>
      <c r="L9" s="1" t="s">
        <v>123</v>
      </c>
      <c r="M9" s="1" t="s">
        <v>31</v>
      </c>
      <c r="N9" s="1" t="s">
        <v>32</v>
      </c>
      <c r="O9" s="1" t="s">
        <v>33</v>
      </c>
      <c r="P9" s="1" t="s">
        <v>32</v>
      </c>
      <c r="Q9" s="1" t="s">
        <v>32</v>
      </c>
      <c r="R9" s="1" t="s">
        <v>124</v>
      </c>
      <c r="S9" s="1" t="s">
        <v>125</v>
      </c>
      <c r="T9">
        <v>33957158</v>
      </c>
      <c r="U9" s="1" t="s">
        <v>32</v>
      </c>
      <c r="V9" s="1" t="s">
        <v>126</v>
      </c>
      <c r="W9" s="1">
        <v>34</v>
      </c>
      <c r="X9" s="1">
        <v>29</v>
      </c>
      <c r="Y9" s="1" t="s">
        <v>313</v>
      </c>
      <c r="Z9" s="2">
        <f t="shared" si="19"/>
        <v>1</v>
      </c>
      <c r="AA9" s="2">
        <f t="shared" si="0"/>
        <v>1</v>
      </c>
      <c r="AB9" s="2">
        <f t="shared" si="1"/>
        <v>0</v>
      </c>
      <c r="AC9" s="2">
        <f t="shared" si="2"/>
        <v>0</v>
      </c>
      <c r="AD9" s="2">
        <f t="shared" si="3"/>
        <v>1</v>
      </c>
      <c r="AE9" s="2">
        <f t="shared" si="4"/>
        <v>0</v>
      </c>
      <c r="AF9" s="2">
        <f t="shared" si="5"/>
        <v>1</v>
      </c>
      <c r="AG9" s="2">
        <f t="shared" si="6"/>
        <v>1</v>
      </c>
      <c r="AH9" s="2">
        <f t="shared" si="7"/>
        <v>0</v>
      </c>
      <c r="AI9" s="2">
        <f t="shared" si="8"/>
        <v>1</v>
      </c>
      <c r="AJ9" s="2">
        <f t="shared" si="9"/>
        <v>0</v>
      </c>
      <c r="AK9" s="2">
        <f t="shared" si="10"/>
        <v>0</v>
      </c>
      <c r="AL9" s="2">
        <f t="shared" si="11"/>
        <v>0</v>
      </c>
      <c r="AM9" s="2">
        <f t="shared" si="12"/>
        <v>0</v>
      </c>
      <c r="AN9" s="2">
        <f t="shared" si="13"/>
        <v>1</v>
      </c>
      <c r="AO9" s="1" t="s">
        <v>127</v>
      </c>
      <c r="AP9" s="1">
        <f t="shared" si="14"/>
        <v>1</v>
      </c>
      <c r="AQ9" s="1">
        <f t="shared" si="15"/>
        <v>1</v>
      </c>
      <c r="AR9" s="1">
        <f t="shared" si="16"/>
        <v>1</v>
      </c>
      <c r="AS9" s="1">
        <f t="shared" si="17"/>
        <v>1</v>
      </c>
      <c r="AT9" s="1">
        <f t="shared" si="18"/>
        <v>0</v>
      </c>
      <c r="AU9" s="1">
        <v>20</v>
      </c>
      <c r="AV9" s="1" t="s">
        <v>312</v>
      </c>
      <c r="AW9" s="1">
        <v>99</v>
      </c>
      <c r="AX9" s="1">
        <v>98</v>
      </c>
      <c r="AY9" s="1">
        <v>99</v>
      </c>
      <c r="AZ9" s="1">
        <v>98</v>
      </c>
      <c r="BA9" s="1"/>
      <c r="BB9" s="1"/>
      <c r="BC9" s="1">
        <v>92</v>
      </c>
      <c r="BD9" s="1"/>
      <c r="BE9" s="1">
        <v>93</v>
      </c>
      <c r="BF9" s="1">
        <v>86</v>
      </c>
      <c r="BG9" s="1"/>
      <c r="BH9" s="1">
        <v>93</v>
      </c>
      <c r="BI9" s="1"/>
      <c r="BJ9" s="1"/>
      <c r="BK9" s="1"/>
      <c r="BL9" s="1">
        <v>93</v>
      </c>
    </row>
    <row r="10" spans="1:64" ht="15" x14ac:dyDescent="0.3">
      <c r="A10" s="1" t="s">
        <v>128</v>
      </c>
      <c r="B10" s="1" t="s">
        <v>129</v>
      </c>
      <c r="C10">
        <v>2023</v>
      </c>
      <c r="D10">
        <v>7</v>
      </c>
      <c r="E10">
        <v>13</v>
      </c>
      <c r="F10" s="1" t="s">
        <v>130</v>
      </c>
      <c r="G10" s="1" t="s">
        <v>131</v>
      </c>
      <c r="H10">
        <v>809</v>
      </c>
      <c r="J10" s="1" t="s">
        <v>132</v>
      </c>
      <c r="K10" s="1" t="s">
        <v>133</v>
      </c>
      <c r="L10" s="1" t="s">
        <v>134</v>
      </c>
      <c r="M10" s="1" t="s">
        <v>31</v>
      </c>
      <c r="N10" s="1" t="s">
        <v>32</v>
      </c>
      <c r="O10" s="1" t="s">
        <v>135</v>
      </c>
      <c r="P10" s="1" t="s">
        <v>32</v>
      </c>
      <c r="Q10" s="1" t="s">
        <v>32</v>
      </c>
      <c r="R10" s="1" t="s">
        <v>136</v>
      </c>
      <c r="S10" s="1" t="s">
        <v>137</v>
      </c>
      <c r="T10">
        <v>37257682</v>
      </c>
      <c r="U10" s="1" t="s">
        <v>32</v>
      </c>
      <c r="V10" s="1" t="s">
        <v>138</v>
      </c>
      <c r="W10" s="1">
        <v>34</v>
      </c>
      <c r="X10" s="1">
        <v>30</v>
      </c>
      <c r="Y10" s="1" t="s">
        <v>139</v>
      </c>
      <c r="Z10" s="2">
        <f t="shared" si="19"/>
        <v>0</v>
      </c>
      <c r="AA10" s="2">
        <f t="shared" si="0"/>
        <v>1</v>
      </c>
      <c r="AB10" s="2">
        <f t="shared" si="1"/>
        <v>0</v>
      </c>
      <c r="AC10" s="2">
        <f t="shared" si="2"/>
        <v>0</v>
      </c>
      <c r="AD10" s="2">
        <f t="shared" si="3"/>
        <v>0</v>
      </c>
      <c r="AE10" s="2">
        <f t="shared" si="4"/>
        <v>0</v>
      </c>
      <c r="AF10" s="2">
        <f t="shared" si="5"/>
        <v>0</v>
      </c>
      <c r="AG10" s="2">
        <f t="shared" si="6"/>
        <v>0</v>
      </c>
      <c r="AH10" s="2">
        <f t="shared" si="7"/>
        <v>1</v>
      </c>
      <c r="AI10" s="2">
        <f t="shared" si="8"/>
        <v>0</v>
      </c>
      <c r="AJ10" s="2">
        <f t="shared" si="9"/>
        <v>1</v>
      </c>
      <c r="AK10" s="2">
        <f t="shared" si="10"/>
        <v>1</v>
      </c>
      <c r="AL10" s="2">
        <f t="shared" si="11"/>
        <v>1</v>
      </c>
      <c r="AM10" s="2">
        <f t="shared" si="12"/>
        <v>1</v>
      </c>
      <c r="AN10" s="2">
        <f t="shared" si="13"/>
        <v>0</v>
      </c>
      <c r="AO10" s="1" t="s">
        <v>140</v>
      </c>
      <c r="AP10" s="1">
        <f t="shared" si="14"/>
        <v>1</v>
      </c>
      <c r="AQ10" s="1">
        <f t="shared" si="15"/>
        <v>1</v>
      </c>
      <c r="AR10" s="1">
        <f t="shared" si="16"/>
        <v>0</v>
      </c>
      <c r="AS10" s="1">
        <f t="shared" si="17"/>
        <v>1</v>
      </c>
      <c r="AT10" s="1">
        <f t="shared" si="18"/>
        <v>1</v>
      </c>
      <c r="AU10" s="1">
        <v>19</v>
      </c>
      <c r="AV10" s="1" t="s">
        <v>141</v>
      </c>
      <c r="AW10" s="1"/>
      <c r="AX10" s="1"/>
      <c r="AY10" s="1"/>
      <c r="AZ10" s="1">
        <v>96</v>
      </c>
      <c r="BA10" s="1"/>
      <c r="BB10" s="1"/>
      <c r="BC10" s="1"/>
      <c r="BD10" s="1"/>
      <c r="BE10" s="1"/>
      <c r="BF10" s="1"/>
      <c r="BG10" s="1">
        <v>92</v>
      </c>
      <c r="BH10" s="1"/>
      <c r="BI10" s="1"/>
      <c r="BJ10" s="1">
        <v>97</v>
      </c>
      <c r="BK10" s="1"/>
      <c r="BL10" s="1"/>
    </row>
    <row r="11" spans="1:64" ht="15" x14ac:dyDescent="0.3">
      <c r="A11" s="1" t="s">
        <v>142</v>
      </c>
      <c r="B11" s="1" t="s">
        <v>143</v>
      </c>
      <c r="C11">
        <v>2023</v>
      </c>
      <c r="D11">
        <v>10</v>
      </c>
      <c r="E11">
        <v>1</v>
      </c>
      <c r="F11" s="1" t="s">
        <v>68</v>
      </c>
      <c r="G11" s="1" t="s">
        <v>69</v>
      </c>
      <c r="H11">
        <v>338</v>
      </c>
      <c r="J11" s="1" t="s">
        <v>144</v>
      </c>
      <c r="K11" s="1" t="s">
        <v>145</v>
      </c>
      <c r="L11" s="1" t="s">
        <v>146</v>
      </c>
      <c r="M11" s="1" t="s">
        <v>31</v>
      </c>
      <c r="N11" s="1" t="s">
        <v>32</v>
      </c>
      <c r="O11" s="1" t="s">
        <v>33</v>
      </c>
      <c r="P11" s="1" t="s">
        <v>32</v>
      </c>
      <c r="Q11" s="1" t="s">
        <v>32</v>
      </c>
      <c r="R11" s="1" t="s">
        <v>147</v>
      </c>
      <c r="S11" s="1" t="s">
        <v>148</v>
      </c>
      <c r="T11">
        <v>37271294</v>
      </c>
      <c r="U11" s="1" t="s">
        <v>32</v>
      </c>
      <c r="V11" s="1" t="s">
        <v>149</v>
      </c>
      <c r="W11" s="1">
        <v>31</v>
      </c>
      <c r="X11" s="1">
        <v>31</v>
      </c>
      <c r="Y11" s="1" t="s">
        <v>150</v>
      </c>
      <c r="Z11" s="2">
        <f t="shared" si="19"/>
        <v>1</v>
      </c>
      <c r="AA11" s="2">
        <f t="shared" si="0"/>
        <v>0</v>
      </c>
      <c r="AB11" s="2">
        <f t="shared" si="1"/>
        <v>0</v>
      </c>
      <c r="AC11" s="2">
        <f t="shared" si="2"/>
        <v>0</v>
      </c>
      <c r="AD11" s="2">
        <f t="shared" si="3"/>
        <v>0</v>
      </c>
      <c r="AE11" s="2">
        <f t="shared" si="4"/>
        <v>1</v>
      </c>
      <c r="AF11" s="2">
        <f t="shared" si="5"/>
        <v>0</v>
      </c>
      <c r="AG11" s="2">
        <f t="shared" si="6"/>
        <v>0</v>
      </c>
      <c r="AH11" s="2">
        <f t="shared" si="7"/>
        <v>0</v>
      </c>
      <c r="AI11" s="2">
        <f t="shared" si="8"/>
        <v>0</v>
      </c>
      <c r="AJ11" s="2">
        <f t="shared" si="9"/>
        <v>0</v>
      </c>
      <c r="AK11" s="2">
        <f t="shared" si="10"/>
        <v>0</v>
      </c>
      <c r="AL11" s="2">
        <f t="shared" si="11"/>
        <v>0</v>
      </c>
      <c r="AM11" s="2">
        <f t="shared" si="12"/>
        <v>0</v>
      </c>
      <c r="AN11" s="2">
        <f t="shared" si="13"/>
        <v>0</v>
      </c>
      <c r="AO11" s="1" t="s">
        <v>76</v>
      </c>
      <c r="AP11" s="1">
        <f t="shared" si="14"/>
        <v>1</v>
      </c>
      <c r="AQ11" s="1">
        <f t="shared" si="15"/>
        <v>1</v>
      </c>
      <c r="AR11" s="1">
        <f t="shared" si="16"/>
        <v>1</v>
      </c>
      <c r="AS11" s="1">
        <f t="shared" si="17"/>
        <v>0</v>
      </c>
      <c r="AT11" s="1">
        <f t="shared" si="18"/>
        <v>0</v>
      </c>
      <c r="AU11" s="1">
        <v>62</v>
      </c>
      <c r="AV11" s="1" t="s">
        <v>151</v>
      </c>
      <c r="AW11" s="1">
        <v>87</v>
      </c>
      <c r="AX11" s="1"/>
      <c r="AY11" s="1"/>
      <c r="AZ11" s="1"/>
      <c r="BA11" s="1"/>
      <c r="BB11" s="1"/>
      <c r="BC11" s="1"/>
      <c r="BD11" s="1">
        <v>84</v>
      </c>
      <c r="BE11" s="1"/>
      <c r="BF11" s="1"/>
      <c r="BG11" s="1"/>
      <c r="BH11" s="1"/>
      <c r="BI11" s="1"/>
      <c r="BJ11" s="1"/>
      <c r="BK11" s="1"/>
      <c r="BL11" s="1"/>
    </row>
    <row r="12" spans="1:64" ht="15" x14ac:dyDescent="0.3">
      <c r="A12" s="1" t="s">
        <v>152</v>
      </c>
      <c r="B12" s="1" t="s">
        <v>153</v>
      </c>
      <c r="C12">
        <v>2022</v>
      </c>
      <c r="D12">
        <v>8</v>
      </c>
      <c r="E12">
        <v>6</v>
      </c>
      <c r="F12" s="1" t="s">
        <v>154</v>
      </c>
      <c r="G12" s="1" t="s">
        <v>155</v>
      </c>
      <c r="H12">
        <v>22</v>
      </c>
      <c r="I12">
        <v>1</v>
      </c>
      <c r="J12" s="1" t="s">
        <v>156</v>
      </c>
      <c r="K12" s="1" t="s">
        <v>157</v>
      </c>
      <c r="L12" s="1" t="s">
        <v>158</v>
      </c>
      <c r="M12" s="1" t="s">
        <v>31</v>
      </c>
      <c r="N12" s="1" t="s">
        <v>32</v>
      </c>
      <c r="O12" s="1" t="s">
        <v>111</v>
      </c>
      <c r="P12" s="1" t="s">
        <v>32</v>
      </c>
      <c r="Q12" s="1" t="s">
        <v>32</v>
      </c>
      <c r="R12" s="1" t="s">
        <v>159</v>
      </c>
      <c r="S12" s="1" t="s">
        <v>160</v>
      </c>
      <c r="T12">
        <v>35933348</v>
      </c>
      <c r="U12" s="1" t="s">
        <v>161</v>
      </c>
      <c r="V12" s="1" t="s">
        <v>162</v>
      </c>
      <c r="W12" s="1">
        <v>92</v>
      </c>
      <c r="X12" s="1"/>
      <c r="Y12" s="1" t="s">
        <v>163</v>
      </c>
      <c r="Z12" s="2">
        <f t="shared" si="19"/>
        <v>1</v>
      </c>
      <c r="AA12" s="2">
        <f t="shared" si="0"/>
        <v>0</v>
      </c>
      <c r="AB12" s="2">
        <f t="shared" si="1"/>
        <v>0</v>
      </c>
      <c r="AC12" s="2">
        <f t="shared" si="2"/>
        <v>0</v>
      </c>
      <c r="AD12" s="2">
        <f t="shared" si="3"/>
        <v>0</v>
      </c>
      <c r="AE12" s="2">
        <f t="shared" si="4"/>
        <v>0</v>
      </c>
      <c r="AF12" s="2">
        <f t="shared" si="5"/>
        <v>0</v>
      </c>
      <c r="AG12" s="2">
        <f t="shared" si="6"/>
        <v>1</v>
      </c>
      <c r="AH12" s="2">
        <f t="shared" si="7"/>
        <v>0</v>
      </c>
      <c r="AI12" s="2">
        <f t="shared" si="8"/>
        <v>0</v>
      </c>
      <c r="AJ12" s="2">
        <f t="shared" si="9"/>
        <v>0</v>
      </c>
      <c r="AK12" s="2">
        <f t="shared" si="10"/>
        <v>0</v>
      </c>
      <c r="AL12" s="2">
        <f t="shared" si="11"/>
        <v>0</v>
      </c>
      <c r="AM12" s="2">
        <f t="shared" si="12"/>
        <v>0</v>
      </c>
      <c r="AN12" s="2">
        <f t="shared" si="13"/>
        <v>0</v>
      </c>
      <c r="AO12" s="1" t="s">
        <v>164</v>
      </c>
      <c r="AP12" s="1">
        <f t="shared" si="14"/>
        <v>1</v>
      </c>
      <c r="AQ12" s="1">
        <f t="shared" si="15"/>
        <v>1</v>
      </c>
      <c r="AR12" s="1">
        <f t="shared" si="16"/>
        <v>1</v>
      </c>
      <c r="AS12" s="1">
        <f t="shared" si="17"/>
        <v>1</v>
      </c>
      <c r="AT12" s="1">
        <f t="shared" si="18"/>
        <v>0</v>
      </c>
      <c r="AU12" s="1">
        <v>19</v>
      </c>
      <c r="AV12" s="1" t="s">
        <v>165</v>
      </c>
      <c r="AW12" s="1">
        <v>97</v>
      </c>
      <c r="AX12" s="1"/>
      <c r="AY12" s="1"/>
      <c r="AZ12" s="1"/>
      <c r="BA12" s="1"/>
      <c r="BB12" s="1"/>
      <c r="BC12" s="1"/>
      <c r="BD12" s="1"/>
      <c r="BE12" s="1"/>
      <c r="BF12" s="1">
        <v>82</v>
      </c>
      <c r="BG12" s="1"/>
      <c r="BH12" s="1"/>
      <c r="BI12" s="1"/>
      <c r="BJ12" s="1"/>
      <c r="BK12" s="1"/>
      <c r="BL12" s="1"/>
    </row>
    <row r="13" spans="1:64" ht="15" x14ac:dyDescent="0.3">
      <c r="A13" s="1" t="s">
        <v>166</v>
      </c>
      <c r="B13" s="1" t="s">
        <v>167</v>
      </c>
      <c r="C13">
        <v>2024</v>
      </c>
      <c r="D13">
        <v>9</v>
      </c>
      <c r="E13">
        <v>21</v>
      </c>
      <c r="F13" s="1" t="s">
        <v>168</v>
      </c>
      <c r="G13" s="1" t="s">
        <v>169</v>
      </c>
      <c r="H13">
        <v>24</v>
      </c>
      <c r="I13">
        <v>18</v>
      </c>
      <c r="J13" s="1" t="s">
        <v>32</v>
      </c>
      <c r="K13" s="1" t="s">
        <v>170</v>
      </c>
      <c r="L13" s="1" t="s">
        <v>171</v>
      </c>
      <c r="M13" s="1" t="s">
        <v>31</v>
      </c>
      <c r="N13" s="1" t="s">
        <v>32</v>
      </c>
      <c r="O13" s="1" t="s">
        <v>85</v>
      </c>
      <c r="P13" s="1" t="s">
        <v>32</v>
      </c>
      <c r="Q13" s="1" t="s">
        <v>32</v>
      </c>
      <c r="R13" s="1" t="s">
        <v>172</v>
      </c>
      <c r="S13" s="1" t="s">
        <v>173</v>
      </c>
      <c r="T13">
        <v>39338848</v>
      </c>
      <c r="U13" s="1" t="s">
        <v>174</v>
      </c>
      <c r="V13" s="1" t="s">
        <v>175</v>
      </c>
      <c r="W13" s="1">
        <v>40</v>
      </c>
      <c r="X13" s="1">
        <v>74</v>
      </c>
      <c r="Y13" s="1" t="s">
        <v>176</v>
      </c>
      <c r="Z13" s="2">
        <f t="shared" si="19"/>
        <v>0</v>
      </c>
      <c r="AA13" s="2">
        <f t="shared" si="0"/>
        <v>0</v>
      </c>
      <c r="AB13" s="2">
        <f t="shared" si="1"/>
        <v>0</v>
      </c>
      <c r="AC13" s="2">
        <f t="shared" si="2"/>
        <v>0</v>
      </c>
      <c r="AD13" s="2">
        <f t="shared" si="3"/>
        <v>0</v>
      </c>
      <c r="AE13" s="2">
        <f t="shared" si="4"/>
        <v>0</v>
      </c>
      <c r="AF13" s="2">
        <f t="shared" si="5"/>
        <v>0</v>
      </c>
      <c r="AG13" s="2">
        <f t="shared" si="6"/>
        <v>1</v>
      </c>
      <c r="AH13" s="2">
        <f t="shared" si="7"/>
        <v>0</v>
      </c>
      <c r="AI13" s="2">
        <f t="shared" si="8"/>
        <v>0</v>
      </c>
      <c r="AJ13" s="2">
        <f t="shared" si="9"/>
        <v>0</v>
      </c>
      <c r="AK13" s="2">
        <f t="shared" si="10"/>
        <v>0</v>
      </c>
      <c r="AL13" s="2">
        <f t="shared" si="11"/>
        <v>0</v>
      </c>
      <c r="AM13" s="2">
        <f t="shared" si="12"/>
        <v>0</v>
      </c>
      <c r="AN13" s="2">
        <f t="shared" si="13"/>
        <v>0</v>
      </c>
      <c r="AO13" s="1" t="s">
        <v>177</v>
      </c>
      <c r="AP13" s="1">
        <f t="shared" si="14"/>
        <v>0</v>
      </c>
      <c r="AQ13" s="1">
        <f t="shared" si="15"/>
        <v>0</v>
      </c>
      <c r="AR13" s="1">
        <f t="shared" si="16"/>
        <v>0</v>
      </c>
      <c r="AS13" s="1">
        <f t="shared" si="17"/>
        <v>0</v>
      </c>
      <c r="AT13" s="1">
        <f t="shared" si="18"/>
        <v>1</v>
      </c>
      <c r="AU13" s="1">
        <v>64</v>
      </c>
      <c r="AV13" s="1" t="s">
        <v>178</v>
      </c>
      <c r="AW13" s="1">
        <v>86</v>
      </c>
      <c r="AX13" s="1"/>
      <c r="AY13" s="1"/>
      <c r="AZ13" s="1"/>
      <c r="BA13" s="1"/>
      <c r="BB13" s="1"/>
      <c r="BC13" s="1"/>
      <c r="BD13" s="1"/>
      <c r="BE13" s="1"/>
      <c r="BF13" s="1">
        <v>82</v>
      </c>
      <c r="BG13" s="1"/>
      <c r="BH13" s="1"/>
      <c r="BI13" s="1"/>
      <c r="BJ13" s="1"/>
      <c r="BK13" s="1"/>
      <c r="BL13" s="1"/>
    </row>
    <row r="14" spans="1:64" ht="15" x14ac:dyDescent="0.3">
      <c r="A14" s="1" t="s">
        <v>179</v>
      </c>
      <c r="B14" s="1" t="s">
        <v>180</v>
      </c>
      <c r="C14">
        <v>2021</v>
      </c>
      <c r="D14">
        <v>12</v>
      </c>
      <c r="E14">
        <v>6</v>
      </c>
      <c r="F14" s="1" t="s">
        <v>181</v>
      </c>
      <c r="G14" s="1" t="s">
        <v>182</v>
      </c>
      <c r="H14">
        <v>11</v>
      </c>
      <c r="I14">
        <v>12</v>
      </c>
      <c r="J14" s="1" t="s">
        <v>32</v>
      </c>
      <c r="K14" s="1" t="s">
        <v>183</v>
      </c>
      <c r="L14" s="1" t="s">
        <v>184</v>
      </c>
      <c r="M14" s="1" t="s">
        <v>31</v>
      </c>
      <c r="N14" s="1" t="s">
        <v>32</v>
      </c>
      <c r="O14" s="1" t="s">
        <v>85</v>
      </c>
      <c r="P14" s="1" t="s">
        <v>32</v>
      </c>
      <c r="Q14" s="1" t="s">
        <v>32</v>
      </c>
      <c r="R14" s="1" t="s">
        <v>185</v>
      </c>
      <c r="S14" s="1" t="s">
        <v>186</v>
      </c>
      <c r="T14">
        <v>34940256</v>
      </c>
      <c r="U14" s="1" t="s">
        <v>187</v>
      </c>
      <c r="V14" s="1" t="s">
        <v>188</v>
      </c>
      <c r="W14" s="1">
        <v>200</v>
      </c>
      <c r="X14" s="1">
        <v>200</v>
      </c>
      <c r="Y14" s="1" t="s">
        <v>189</v>
      </c>
      <c r="Z14" s="2">
        <f t="shared" si="19"/>
        <v>1</v>
      </c>
      <c r="AA14" s="2">
        <f t="shared" si="0"/>
        <v>0</v>
      </c>
      <c r="AB14" s="2">
        <f t="shared" si="1"/>
        <v>1</v>
      </c>
      <c r="AC14" s="2">
        <f t="shared" si="2"/>
        <v>0</v>
      </c>
      <c r="AD14" s="2">
        <f t="shared" si="3"/>
        <v>0</v>
      </c>
      <c r="AE14" s="2">
        <f t="shared" si="4"/>
        <v>1</v>
      </c>
      <c r="AF14" s="2">
        <f t="shared" si="5"/>
        <v>0</v>
      </c>
      <c r="AG14" s="2">
        <f t="shared" si="6"/>
        <v>0</v>
      </c>
      <c r="AH14" s="2">
        <f t="shared" si="7"/>
        <v>0</v>
      </c>
      <c r="AI14" s="2">
        <f t="shared" si="8"/>
        <v>0</v>
      </c>
      <c r="AJ14" s="2">
        <f t="shared" si="9"/>
        <v>0</v>
      </c>
      <c r="AK14" s="2">
        <f t="shared" si="10"/>
        <v>0</v>
      </c>
      <c r="AL14" s="2">
        <f t="shared" si="11"/>
        <v>0</v>
      </c>
      <c r="AM14" s="2">
        <f t="shared" si="12"/>
        <v>0</v>
      </c>
      <c r="AN14" s="2">
        <f t="shared" si="13"/>
        <v>0</v>
      </c>
      <c r="AO14" s="1" t="s">
        <v>76</v>
      </c>
      <c r="AP14" s="1">
        <f t="shared" si="14"/>
        <v>1</v>
      </c>
      <c r="AQ14" s="1">
        <f t="shared" si="15"/>
        <v>1</v>
      </c>
      <c r="AR14" s="1">
        <f t="shared" si="16"/>
        <v>1</v>
      </c>
      <c r="AS14" s="1">
        <f t="shared" si="17"/>
        <v>0</v>
      </c>
      <c r="AT14" s="1">
        <f t="shared" si="18"/>
        <v>0</v>
      </c>
      <c r="AU14" s="1">
        <v>32</v>
      </c>
      <c r="AV14" s="1" t="s">
        <v>190</v>
      </c>
      <c r="AW14" s="1">
        <v>88</v>
      </c>
      <c r="AX14" s="1"/>
      <c r="AY14" s="1"/>
      <c r="AZ14" s="1"/>
      <c r="BA14" s="1">
        <v>48</v>
      </c>
      <c r="BB14" s="1"/>
      <c r="BC14" s="1"/>
      <c r="BD14" s="1">
        <v>75</v>
      </c>
      <c r="BE14" s="1"/>
      <c r="BF14" s="1"/>
      <c r="BG14" s="1"/>
      <c r="BH14" s="1"/>
      <c r="BI14" s="1"/>
      <c r="BJ14" s="1"/>
      <c r="BK14" s="1"/>
      <c r="BL14" s="1"/>
    </row>
    <row r="15" spans="1:64" ht="15" x14ac:dyDescent="0.3">
      <c r="A15" s="1" t="s">
        <v>191</v>
      </c>
      <c r="B15" s="1" t="s">
        <v>192</v>
      </c>
      <c r="C15">
        <v>2021</v>
      </c>
      <c r="D15">
        <v>11</v>
      </c>
      <c r="F15" s="1" t="s">
        <v>42</v>
      </c>
      <c r="G15" s="1" t="s">
        <v>43</v>
      </c>
      <c r="H15">
        <v>2021</v>
      </c>
      <c r="J15" s="1" t="s">
        <v>193</v>
      </c>
      <c r="K15" s="1" t="s">
        <v>194</v>
      </c>
      <c r="L15" s="1" t="s">
        <v>195</v>
      </c>
      <c r="M15" s="1" t="s">
        <v>31</v>
      </c>
      <c r="N15" s="1" t="s">
        <v>32</v>
      </c>
      <c r="O15" s="1" t="s">
        <v>47</v>
      </c>
      <c r="P15" s="1" t="s">
        <v>32</v>
      </c>
      <c r="Q15" s="1" t="s">
        <v>32</v>
      </c>
      <c r="R15" s="1" t="s">
        <v>196</v>
      </c>
      <c r="S15" s="1" t="s">
        <v>197</v>
      </c>
      <c r="T15">
        <v>34891612</v>
      </c>
      <c r="U15" s="1" t="s">
        <v>32</v>
      </c>
      <c r="V15" s="1" t="s">
        <v>198</v>
      </c>
      <c r="W15" s="1">
        <v>34</v>
      </c>
      <c r="X15" s="1">
        <v>58</v>
      </c>
      <c r="Y15" s="1" t="s">
        <v>199</v>
      </c>
      <c r="Z15" s="2">
        <f t="shared" si="19"/>
        <v>1</v>
      </c>
      <c r="AA15" s="2">
        <f t="shared" si="0"/>
        <v>0</v>
      </c>
      <c r="AB15" s="2">
        <f t="shared" si="1"/>
        <v>0</v>
      </c>
      <c r="AC15" s="2">
        <f t="shared" si="2"/>
        <v>0</v>
      </c>
      <c r="AD15" s="2">
        <f t="shared" si="3"/>
        <v>0</v>
      </c>
      <c r="AE15" s="2">
        <f t="shared" si="4"/>
        <v>0</v>
      </c>
      <c r="AF15" s="2">
        <f t="shared" si="5"/>
        <v>0</v>
      </c>
      <c r="AG15" s="2">
        <f t="shared" si="6"/>
        <v>1</v>
      </c>
      <c r="AH15" s="2">
        <f t="shared" si="7"/>
        <v>0</v>
      </c>
      <c r="AI15" s="2">
        <f t="shared" si="8"/>
        <v>0</v>
      </c>
      <c r="AJ15" s="2">
        <f t="shared" si="9"/>
        <v>0</v>
      </c>
      <c r="AK15" s="2">
        <f t="shared" si="10"/>
        <v>0</v>
      </c>
      <c r="AL15" s="2">
        <f t="shared" si="11"/>
        <v>0</v>
      </c>
      <c r="AM15" s="2">
        <f t="shared" si="12"/>
        <v>0</v>
      </c>
      <c r="AN15" s="2">
        <f t="shared" si="13"/>
        <v>0</v>
      </c>
      <c r="AO15" s="1" t="s">
        <v>200</v>
      </c>
      <c r="AP15" s="1">
        <f t="shared" si="14"/>
        <v>1</v>
      </c>
      <c r="AQ15" s="1">
        <f t="shared" si="15"/>
        <v>0</v>
      </c>
      <c r="AR15" s="1">
        <f t="shared" si="16"/>
        <v>0</v>
      </c>
      <c r="AS15" s="1">
        <f t="shared" si="17"/>
        <v>1</v>
      </c>
      <c r="AT15" s="1">
        <f t="shared" si="18"/>
        <v>0</v>
      </c>
      <c r="AU15" s="1">
        <v>19</v>
      </c>
      <c r="AV15" s="1" t="s">
        <v>201</v>
      </c>
      <c r="AW15" s="1">
        <v>90</v>
      </c>
      <c r="AX15" s="1"/>
      <c r="AY15" s="1"/>
      <c r="AZ15" s="1">
        <v>73</v>
      </c>
      <c r="BA15" s="1"/>
      <c r="BB15" s="1"/>
      <c r="BC15" s="1"/>
      <c r="BD15" s="1"/>
      <c r="BE15" s="1"/>
      <c r="BF15" s="1">
        <v>73</v>
      </c>
      <c r="BG15" s="1"/>
      <c r="BH15" s="1"/>
      <c r="BI15" s="1"/>
      <c r="BJ15" s="1"/>
      <c r="BK15" s="1"/>
      <c r="BL15" s="1"/>
    </row>
    <row r="16" spans="1:64" ht="15" x14ac:dyDescent="0.3">
      <c r="A16" s="1" t="s">
        <v>202</v>
      </c>
      <c r="B16" s="1" t="s">
        <v>203</v>
      </c>
      <c r="C16">
        <v>2025</v>
      </c>
      <c r="D16">
        <v>10</v>
      </c>
      <c r="E16">
        <v>2</v>
      </c>
      <c r="F16" s="1" t="s">
        <v>204</v>
      </c>
      <c r="G16" s="1" t="s">
        <v>205</v>
      </c>
      <c r="H16">
        <v>142</v>
      </c>
      <c r="J16" s="1" t="s">
        <v>206</v>
      </c>
      <c r="K16" s="1" t="s">
        <v>207</v>
      </c>
      <c r="L16" s="1" t="s">
        <v>208</v>
      </c>
      <c r="M16" s="1" t="s">
        <v>31</v>
      </c>
      <c r="N16" s="1" t="s">
        <v>32</v>
      </c>
      <c r="O16" s="1" t="s">
        <v>111</v>
      </c>
      <c r="P16" s="1" t="s">
        <v>32</v>
      </c>
      <c r="Q16" s="1" t="s">
        <v>32</v>
      </c>
      <c r="R16" s="1" t="s">
        <v>209</v>
      </c>
      <c r="S16" s="1" t="s">
        <v>210</v>
      </c>
      <c r="T16">
        <v>41135843</v>
      </c>
      <c r="U16" s="1" t="s">
        <v>32</v>
      </c>
      <c r="V16" s="1" t="s">
        <v>211</v>
      </c>
      <c r="W16" s="1">
        <v>85</v>
      </c>
      <c r="X16" s="1">
        <v>49</v>
      </c>
      <c r="Y16" s="1" t="s">
        <v>212</v>
      </c>
      <c r="Z16" s="2">
        <f t="shared" si="19"/>
        <v>0</v>
      </c>
      <c r="AA16" s="2">
        <f t="shared" si="0"/>
        <v>0</v>
      </c>
      <c r="AB16" s="2">
        <f t="shared" si="1"/>
        <v>0</v>
      </c>
      <c r="AC16" s="2">
        <f t="shared" si="2"/>
        <v>0</v>
      </c>
      <c r="AD16" s="2">
        <f t="shared" si="3"/>
        <v>0</v>
      </c>
      <c r="AE16" s="2">
        <f t="shared" si="4"/>
        <v>0</v>
      </c>
      <c r="AF16" s="2">
        <f t="shared" si="5"/>
        <v>0</v>
      </c>
      <c r="AG16" s="2">
        <f t="shared" si="6"/>
        <v>0</v>
      </c>
      <c r="AH16" s="2">
        <f t="shared" si="7"/>
        <v>0</v>
      </c>
      <c r="AI16" s="2">
        <f t="shared" si="8"/>
        <v>0</v>
      </c>
      <c r="AJ16" s="2">
        <f t="shared" si="9"/>
        <v>0</v>
      </c>
      <c r="AK16" s="2">
        <f t="shared" si="10"/>
        <v>0</v>
      </c>
      <c r="AL16" s="2">
        <f t="shared" si="11"/>
        <v>0</v>
      </c>
      <c r="AM16" s="2">
        <f t="shared" si="12"/>
        <v>0</v>
      </c>
      <c r="AN16" s="2">
        <f t="shared" si="13"/>
        <v>0</v>
      </c>
      <c r="AO16" s="1" t="s">
        <v>213</v>
      </c>
      <c r="AP16" s="1">
        <f t="shared" si="14"/>
        <v>1</v>
      </c>
      <c r="AQ16" s="1">
        <f t="shared" si="15"/>
        <v>1</v>
      </c>
      <c r="AR16" s="1">
        <f t="shared" si="16"/>
        <v>1</v>
      </c>
      <c r="AS16" s="1">
        <f t="shared" si="17"/>
        <v>1</v>
      </c>
      <c r="AT16" s="1">
        <f t="shared" si="18"/>
        <v>0</v>
      </c>
      <c r="AU16" s="1">
        <v>62</v>
      </c>
      <c r="AV16" s="1" t="s">
        <v>214</v>
      </c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>
        <v>70</v>
      </c>
      <c r="BL16" s="1"/>
    </row>
    <row r="17" spans="1:64" ht="15" x14ac:dyDescent="0.3">
      <c r="A17" s="1" t="s">
        <v>215</v>
      </c>
      <c r="B17" s="1" t="s">
        <v>216</v>
      </c>
      <c r="C17">
        <v>2025</v>
      </c>
      <c r="D17">
        <v>1</v>
      </c>
      <c r="E17">
        <v>12</v>
      </c>
      <c r="F17" s="1" t="s">
        <v>168</v>
      </c>
      <c r="G17" s="1" t="s">
        <v>169</v>
      </c>
      <c r="H17">
        <v>25</v>
      </c>
      <c r="I17">
        <v>2</v>
      </c>
      <c r="J17" s="1" t="s">
        <v>32</v>
      </c>
      <c r="K17" s="1" t="s">
        <v>217</v>
      </c>
      <c r="L17" s="1" t="s">
        <v>218</v>
      </c>
      <c r="M17" s="1" t="s">
        <v>31</v>
      </c>
      <c r="N17" s="1" t="s">
        <v>32</v>
      </c>
      <c r="O17" s="1" t="s">
        <v>85</v>
      </c>
      <c r="P17" s="1" t="s">
        <v>32</v>
      </c>
      <c r="Q17" s="1" t="s">
        <v>32</v>
      </c>
      <c r="R17" s="1" t="s">
        <v>219</v>
      </c>
      <c r="S17" s="1" t="s">
        <v>220</v>
      </c>
      <c r="T17">
        <v>39860780</v>
      </c>
      <c r="U17" s="1" t="s">
        <v>221</v>
      </c>
      <c r="V17" s="1" t="s">
        <v>222</v>
      </c>
      <c r="W17" s="1">
        <v>70</v>
      </c>
      <c r="X17" s="1">
        <v>70</v>
      </c>
      <c r="Y17" s="1" t="s">
        <v>223</v>
      </c>
      <c r="Z17" s="2">
        <f t="shared" si="19"/>
        <v>1</v>
      </c>
      <c r="AA17" s="2">
        <f t="shared" si="0"/>
        <v>1</v>
      </c>
      <c r="AB17" s="2">
        <f t="shared" si="1"/>
        <v>1</v>
      </c>
      <c r="AC17" s="2">
        <f t="shared" si="2"/>
        <v>0</v>
      </c>
      <c r="AD17" s="2">
        <f t="shared" si="3"/>
        <v>1</v>
      </c>
      <c r="AE17" s="2">
        <f t="shared" si="4"/>
        <v>0</v>
      </c>
      <c r="AF17" s="2">
        <f t="shared" si="5"/>
        <v>1</v>
      </c>
      <c r="AG17" s="2">
        <f t="shared" si="6"/>
        <v>0</v>
      </c>
      <c r="AH17" s="2">
        <f t="shared" si="7"/>
        <v>1</v>
      </c>
      <c r="AI17" s="2">
        <f t="shared" si="8"/>
        <v>0</v>
      </c>
      <c r="AJ17" s="2">
        <f t="shared" si="9"/>
        <v>0</v>
      </c>
      <c r="AK17" s="2">
        <f t="shared" si="10"/>
        <v>0</v>
      </c>
      <c r="AL17" s="2">
        <f t="shared" si="11"/>
        <v>0</v>
      </c>
      <c r="AM17" s="2">
        <f t="shared" si="12"/>
        <v>1</v>
      </c>
      <c r="AN17" s="2">
        <f t="shared" si="13"/>
        <v>0</v>
      </c>
      <c r="AO17" s="1" t="s">
        <v>224</v>
      </c>
      <c r="AP17" s="1">
        <f t="shared" si="14"/>
        <v>1</v>
      </c>
      <c r="AQ17" s="1">
        <f t="shared" si="15"/>
        <v>0</v>
      </c>
      <c r="AR17" s="1">
        <f t="shared" si="16"/>
        <v>0</v>
      </c>
      <c r="AS17" s="1">
        <f t="shared" si="17"/>
        <v>1</v>
      </c>
      <c r="AT17" s="1">
        <f t="shared" si="18"/>
        <v>0</v>
      </c>
      <c r="AU17" s="1">
        <v>19</v>
      </c>
      <c r="AV17" s="1" t="s">
        <v>225</v>
      </c>
      <c r="AW17" s="1"/>
      <c r="AX17" s="1"/>
      <c r="AY17" s="1"/>
      <c r="AZ17" s="1">
        <v>73</v>
      </c>
      <c r="BA17" s="1">
        <v>60</v>
      </c>
      <c r="BB17" s="1"/>
      <c r="BC17" s="1">
        <v>78</v>
      </c>
      <c r="BD17" s="1"/>
      <c r="BE17" s="1"/>
      <c r="BF17" s="1"/>
      <c r="BG17" s="1"/>
      <c r="BH17" s="1"/>
      <c r="BI17" s="1"/>
      <c r="BJ17" s="1">
        <v>80</v>
      </c>
      <c r="BK17" s="1"/>
      <c r="BL17" s="1"/>
    </row>
    <row r="18" spans="1:64" ht="15" x14ac:dyDescent="0.3">
      <c r="A18" s="1" t="s">
        <v>226</v>
      </c>
      <c r="B18" s="1" t="s">
        <v>227</v>
      </c>
      <c r="C18">
        <v>2025</v>
      </c>
      <c r="D18">
        <v>5</v>
      </c>
      <c r="E18">
        <v>8</v>
      </c>
      <c r="F18" s="1" t="s">
        <v>228</v>
      </c>
      <c r="G18" s="1" t="s">
        <v>229</v>
      </c>
      <c r="H18">
        <v>51</v>
      </c>
      <c r="I18">
        <v>3</v>
      </c>
      <c r="J18" s="1" t="s">
        <v>230</v>
      </c>
      <c r="K18" s="1" t="s">
        <v>231</v>
      </c>
      <c r="L18" s="1" t="s">
        <v>232</v>
      </c>
      <c r="M18" s="1" t="s">
        <v>31</v>
      </c>
      <c r="N18" s="1" t="s">
        <v>32</v>
      </c>
      <c r="O18" s="1" t="s">
        <v>47</v>
      </c>
      <c r="P18" s="1" t="s">
        <v>32</v>
      </c>
      <c r="Q18" s="1" t="s">
        <v>32</v>
      </c>
      <c r="R18" s="1" t="s">
        <v>233</v>
      </c>
      <c r="S18" s="1" t="s">
        <v>234</v>
      </c>
      <c r="T18">
        <v>39248267</v>
      </c>
      <c r="U18" s="1" t="s">
        <v>235</v>
      </c>
      <c r="V18" s="1" t="s">
        <v>236</v>
      </c>
      <c r="W18" s="1">
        <v>240</v>
      </c>
      <c r="X18" s="1">
        <v>245</v>
      </c>
      <c r="Y18" s="1" t="s">
        <v>37</v>
      </c>
      <c r="Z18" s="2">
        <f t="shared" si="19"/>
        <v>1</v>
      </c>
      <c r="AA18" s="2">
        <f t="shared" si="0"/>
        <v>0</v>
      </c>
      <c r="AB18" s="2">
        <f t="shared" si="1"/>
        <v>0</v>
      </c>
      <c r="AC18" s="2">
        <f t="shared" si="2"/>
        <v>0</v>
      </c>
      <c r="AD18" s="2">
        <f t="shared" si="3"/>
        <v>0</v>
      </c>
      <c r="AE18" s="2">
        <f t="shared" si="4"/>
        <v>0</v>
      </c>
      <c r="AF18" s="2">
        <f t="shared" si="5"/>
        <v>0</v>
      </c>
      <c r="AG18" s="2">
        <f t="shared" si="6"/>
        <v>0</v>
      </c>
      <c r="AH18" s="2">
        <f t="shared" si="7"/>
        <v>0</v>
      </c>
      <c r="AI18" s="2">
        <f t="shared" si="8"/>
        <v>0</v>
      </c>
      <c r="AJ18" s="2">
        <f t="shared" si="9"/>
        <v>0</v>
      </c>
      <c r="AK18" s="2">
        <f t="shared" si="10"/>
        <v>0</v>
      </c>
      <c r="AL18" s="2">
        <f t="shared" si="11"/>
        <v>0</v>
      </c>
      <c r="AM18" s="2">
        <f t="shared" si="12"/>
        <v>0</v>
      </c>
      <c r="AN18" s="2">
        <f t="shared" si="13"/>
        <v>0</v>
      </c>
      <c r="AO18" s="1" t="s">
        <v>237</v>
      </c>
      <c r="AP18" s="1">
        <f t="shared" si="14"/>
        <v>1</v>
      </c>
      <c r="AQ18" s="1">
        <f t="shared" si="15"/>
        <v>1</v>
      </c>
      <c r="AR18" s="1">
        <f t="shared" si="16"/>
        <v>1</v>
      </c>
      <c r="AS18" s="1">
        <f t="shared" si="17"/>
        <v>0</v>
      </c>
      <c r="AT18" s="1">
        <f t="shared" si="18"/>
        <v>0</v>
      </c>
      <c r="AU18" s="1">
        <v>19</v>
      </c>
      <c r="AV18" s="1" t="s">
        <v>238</v>
      </c>
      <c r="AW18" s="1">
        <v>67</v>
      </c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</row>
    <row r="19" spans="1:64" ht="15" x14ac:dyDescent="0.3">
      <c r="A19" s="1" t="s">
        <v>239</v>
      </c>
      <c r="B19" s="1" t="s">
        <v>240</v>
      </c>
      <c r="C19">
        <v>2025</v>
      </c>
      <c r="D19">
        <v>11</v>
      </c>
      <c r="F19" s="1" t="s">
        <v>241</v>
      </c>
      <c r="G19" s="1" t="s">
        <v>242</v>
      </c>
      <c r="H19">
        <v>198</v>
      </c>
      <c r="J19" s="1" t="s">
        <v>243</v>
      </c>
      <c r="K19" s="1" t="s">
        <v>244</v>
      </c>
      <c r="L19" s="1" t="s">
        <v>245</v>
      </c>
      <c r="M19" s="1" t="s">
        <v>31</v>
      </c>
      <c r="N19" s="1" t="s">
        <v>32</v>
      </c>
      <c r="O19" s="1" t="s">
        <v>47</v>
      </c>
      <c r="P19" s="1" t="s">
        <v>32</v>
      </c>
      <c r="Q19" s="1" t="s">
        <v>32</v>
      </c>
      <c r="R19" s="1" t="s">
        <v>246</v>
      </c>
      <c r="S19" s="1" t="s">
        <v>247</v>
      </c>
      <c r="T19">
        <v>41045734</v>
      </c>
      <c r="U19" s="1" t="s">
        <v>32</v>
      </c>
      <c r="V19" s="1" t="s">
        <v>248</v>
      </c>
      <c r="W19" s="1">
        <v>22</v>
      </c>
      <c r="X19" s="1">
        <v>15</v>
      </c>
      <c r="Y19" s="1" t="s">
        <v>37</v>
      </c>
      <c r="Z19" s="2">
        <f t="shared" si="19"/>
        <v>1</v>
      </c>
      <c r="AA19" s="2">
        <f t="shared" si="0"/>
        <v>0</v>
      </c>
      <c r="AB19" s="2">
        <f t="shared" si="1"/>
        <v>0</v>
      </c>
      <c r="AC19" s="2">
        <f t="shared" si="2"/>
        <v>0</v>
      </c>
      <c r="AD19" s="2">
        <f t="shared" si="3"/>
        <v>0</v>
      </c>
      <c r="AE19" s="2">
        <f t="shared" si="4"/>
        <v>0</v>
      </c>
      <c r="AF19" s="2">
        <f t="shared" si="5"/>
        <v>0</v>
      </c>
      <c r="AG19" s="2">
        <f t="shared" si="6"/>
        <v>0</v>
      </c>
      <c r="AH19" s="2">
        <f t="shared" si="7"/>
        <v>0</v>
      </c>
      <c r="AI19" s="2">
        <f t="shared" si="8"/>
        <v>0</v>
      </c>
      <c r="AJ19" s="2">
        <f t="shared" si="9"/>
        <v>0</v>
      </c>
      <c r="AK19" s="2">
        <f t="shared" si="10"/>
        <v>0</v>
      </c>
      <c r="AL19" s="2">
        <f t="shared" si="11"/>
        <v>0</v>
      </c>
      <c r="AM19" s="2">
        <f t="shared" si="12"/>
        <v>0</v>
      </c>
      <c r="AN19" s="2">
        <f t="shared" si="13"/>
        <v>0</v>
      </c>
      <c r="AO19" s="1" t="s">
        <v>249</v>
      </c>
      <c r="AP19" s="1">
        <f t="shared" si="14"/>
        <v>1</v>
      </c>
      <c r="AQ19" s="1">
        <f t="shared" si="15"/>
        <v>0</v>
      </c>
      <c r="AR19" s="1">
        <f t="shared" si="16"/>
        <v>0</v>
      </c>
      <c r="AS19" s="1">
        <f t="shared" si="17"/>
        <v>0</v>
      </c>
      <c r="AT19" s="1">
        <f t="shared" si="18"/>
        <v>0</v>
      </c>
      <c r="AU19" s="1">
        <v>19</v>
      </c>
      <c r="AV19" s="1" t="s">
        <v>250</v>
      </c>
      <c r="AW19" s="1">
        <v>93</v>
      </c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</row>
    <row r="20" spans="1:64" ht="15" x14ac:dyDescent="0.3">
      <c r="A20" s="1" t="s">
        <v>251</v>
      </c>
      <c r="B20" s="1" t="s">
        <v>252</v>
      </c>
      <c r="C20">
        <v>2022</v>
      </c>
      <c r="F20" s="1" t="s">
        <v>253</v>
      </c>
      <c r="G20" s="1" t="s">
        <v>254</v>
      </c>
      <c r="H20">
        <v>30</v>
      </c>
      <c r="J20" s="1" t="s">
        <v>255</v>
      </c>
      <c r="K20" s="1" t="s">
        <v>256</v>
      </c>
      <c r="L20" s="1" t="s">
        <v>257</v>
      </c>
      <c r="M20" s="1" t="s">
        <v>31</v>
      </c>
      <c r="N20" s="1" t="s">
        <v>32</v>
      </c>
      <c r="O20" s="1" t="s">
        <v>47</v>
      </c>
      <c r="P20" s="1" t="s">
        <v>32</v>
      </c>
      <c r="Q20" s="1" t="s">
        <v>32</v>
      </c>
      <c r="R20" s="1" t="s">
        <v>258</v>
      </c>
      <c r="S20" s="1" t="s">
        <v>259</v>
      </c>
      <c r="T20">
        <v>35412986</v>
      </c>
      <c r="U20" s="1" t="s">
        <v>32</v>
      </c>
      <c r="V20" s="1" t="s">
        <v>260</v>
      </c>
      <c r="W20" s="1">
        <v>30</v>
      </c>
      <c r="X20" s="1">
        <v>22</v>
      </c>
      <c r="Y20" s="1" t="s">
        <v>261</v>
      </c>
      <c r="Z20" s="2">
        <f t="shared" si="19"/>
        <v>1</v>
      </c>
      <c r="AA20" s="2">
        <f t="shared" si="0"/>
        <v>0</v>
      </c>
      <c r="AB20" s="2">
        <f t="shared" si="1"/>
        <v>0</v>
      </c>
      <c r="AC20" s="2">
        <f t="shared" si="2"/>
        <v>0</v>
      </c>
      <c r="AD20" s="2">
        <f t="shared" si="3"/>
        <v>0</v>
      </c>
      <c r="AE20" s="2">
        <f t="shared" si="4"/>
        <v>1</v>
      </c>
      <c r="AF20" s="2">
        <f t="shared" si="5"/>
        <v>0</v>
      </c>
      <c r="AG20" s="2">
        <f t="shared" si="6"/>
        <v>1</v>
      </c>
      <c r="AH20" s="2">
        <f t="shared" si="7"/>
        <v>0</v>
      </c>
      <c r="AI20" s="2">
        <f t="shared" si="8"/>
        <v>0</v>
      </c>
      <c r="AJ20" s="2">
        <f t="shared" si="9"/>
        <v>0</v>
      </c>
      <c r="AK20" s="2">
        <f t="shared" si="10"/>
        <v>0</v>
      </c>
      <c r="AL20" s="2">
        <f t="shared" si="11"/>
        <v>0</v>
      </c>
      <c r="AM20" s="2">
        <f t="shared" si="12"/>
        <v>0</v>
      </c>
      <c r="AN20" s="2">
        <f t="shared" si="13"/>
        <v>0</v>
      </c>
      <c r="AO20" s="1" t="s">
        <v>76</v>
      </c>
      <c r="AP20" s="1">
        <f t="shared" si="14"/>
        <v>1</v>
      </c>
      <c r="AQ20" s="1">
        <f t="shared" si="15"/>
        <v>1</v>
      </c>
      <c r="AR20" s="1">
        <f t="shared" si="16"/>
        <v>1</v>
      </c>
      <c r="AS20" s="1">
        <f t="shared" si="17"/>
        <v>0</v>
      </c>
      <c r="AT20" s="1">
        <f t="shared" si="18"/>
        <v>0</v>
      </c>
      <c r="AU20" s="1">
        <v>64</v>
      </c>
      <c r="AV20" s="1" t="s">
        <v>262</v>
      </c>
      <c r="AW20" s="1"/>
      <c r="AX20" s="1">
        <v>98</v>
      </c>
      <c r="AY20" s="1">
        <v>82</v>
      </c>
      <c r="AZ20" s="1"/>
      <c r="BA20" s="1"/>
      <c r="BB20" s="1"/>
      <c r="BC20" s="1"/>
      <c r="BD20" s="1">
        <v>78</v>
      </c>
      <c r="BE20" s="1">
        <v>78</v>
      </c>
      <c r="BF20" s="1">
        <v>68</v>
      </c>
      <c r="BG20" s="1"/>
      <c r="BH20" s="1"/>
      <c r="BI20" s="1"/>
      <c r="BJ20" s="1"/>
      <c r="BK20" s="1"/>
      <c r="BL20" s="1"/>
    </row>
    <row r="21" spans="1:64" ht="15" x14ac:dyDescent="0.3">
      <c r="A21" s="1" t="s">
        <v>263</v>
      </c>
      <c r="B21" s="1" t="s">
        <v>264</v>
      </c>
      <c r="C21">
        <v>2025</v>
      </c>
      <c r="F21" s="1" t="s">
        <v>265</v>
      </c>
      <c r="G21" s="1" t="s">
        <v>266</v>
      </c>
      <c r="H21">
        <v>20</v>
      </c>
      <c r="I21">
        <v>12</v>
      </c>
      <c r="J21" s="1" t="s">
        <v>267</v>
      </c>
      <c r="K21" s="1" t="s">
        <v>268</v>
      </c>
      <c r="L21" s="1" t="s">
        <v>269</v>
      </c>
      <c r="M21" s="1" t="s">
        <v>31</v>
      </c>
      <c r="N21" s="1" t="s">
        <v>32</v>
      </c>
      <c r="O21" s="1" t="s">
        <v>47</v>
      </c>
      <c r="P21" s="1" t="s">
        <v>32</v>
      </c>
      <c r="Q21" s="1" t="s">
        <v>32</v>
      </c>
      <c r="R21" s="1" t="s">
        <v>270</v>
      </c>
      <c r="S21" s="1" t="s">
        <v>271</v>
      </c>
      <c r="T21">
        <v>41343567</v>
      </c>
      <c r="U21" s="1" t="s">
        <v>272</v>
      </c>
      <c r="V21" s="1" t="s">
        <v>273</v>
      </c>
      <c r="W21" s="1">
        <v>27</v>
      </c>
      <c r="X21" s="1">
        <v>96</v>
      </c>
      <c r="Y21" s="1" t="s">
        <v>274</v>
      </c>
      <c r="Z21" s="2">
        <f t="shared" si="19"/>
        <v>1</v>
      </c>
      <c r="AA21" s="2">
        <f t="shared" si="0"/>
        <v>1</v>
      </c>
      <c r="AB21" s="2">
        <f t="shared" si="1"/>
        <v>1</v>
      </c>
      <c r="AC21" s="2">
        <f t="shared" si="2"/>
        <v>1</v>
      </c>
      <c r="AD21" s="2">
        <f t="shared" si="3"/>
        <v>0</v>
      </c>
      <c r="AE21" s="2">
        <f t="shared" si="4"/>
        <v>0</v>
      </c>
      <c r="AF21" s="2">
        <f t="shared" si="5"/>
        <v>1</v>
      </c>
      <c r="AG21" s="2">
        <f t="shared" si="6"/>
        <v>0</v>
      </c>
      <c r="AH21" s="2">
        <f t="shared" si="7"/>
        <v>1</v>
      </c>
      <c r="AI21" s="2">
        <f t="shared" si="8"/>
        <v>0</v>
      </c>
      <c r="AJ21" s="2">
        <f t="shared" si="9"/>
        <v>0</v>
      </c>
      <c r="AK21" s="2">
        <f t="shared" si="10"/>
        <v>0</v>
      </c>
      <c r="AL21" s="2">
        <f t="shared" si="11"/>
        <v>0</v>
      </c>
      <c r="AM21" s="2">
        <f t="shared" si="12"/>
        <v>0</v>
      </c>
      <c r="AN21" s="2">
        <f t="shared" si="13"/>
        <v>0</v>
      </c>
      <c r="AO21" s="1" t="s">
        <v>275</v>
      </c>
      <c r="AP21" s="1">
        <f t="shared" si="14"/>
        <v>1</v>
      </c>
      <c r="AQ21" s="1">
        <f t="shared" si="15"/>
        <v>0</v>
      </c>
      <c r="AR21" s="1">
        <f t="shared" si="16"/>
        <v>0</v>
      </c>
      <c r="AS21" s="1">
        <f t="shared" si="17"/>
        <v>1</v>
      </c>
      <c r="AT21" s="1">
        <f t="shared" si="18"/>
        <v>0</v>
      </c>
      <c r="AU21" s="1">
        <v>19</v>
      </c>
      <c r="AV21" s="1" t="s">
        <v>276</v>
      </c>
      <c r="AW21" s="1">
        <v>88</v>
      </c>
      <c r="AX21" s="1"/>
      <c r="AY21" s="1"/>
      <c r="AZ21" s="1">
        <v>88</v>
      </c>
      <c r="BA21" s="1"/>
      <c r="BB21" s="1"/>
      <c r="BC21" s="1"/>
      <c r="BD21" s="1"/>
      <c r="BE21" s="1"/>
      <c r="BF21" s="1"/>
      <c r="BG21" s="1">
        <v>85</v>
      </c>
      <c r="BH21" s="1"/>
      <c r="BI21" s="1"/>
      <c r="BJ21" s="1"/>
      <c r="BK21" s="1"/>
      <c r="BL21" s="1"/>
    </row>
    <row r="22" spans="1:64" x14ac:dyDescent="0.3">
      <c r="A22" s="1"/>
      <c r="B22" s="1"/>
      <c r="F22" s="1"/>
      <c r="G22" s="1"/>
      <c r="J22" s="1"/>
      <c r="K22" s="1"/>
      <c r="L22" s="1"/>
      <c r="M22" s="1"/>
      <c r="N22" s="1"/>
      <c r="O22" s="1"/>
      <c r="P22" s="1"/>
      <c r="Q22" s="1"/>
      <c r="R22" s="1"/>
      <c r="S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6DD99-3EA3-4A8F-8B1F-32DAAA9DC59C}">
  <dimension ref="A1:AQ21"/>
  <sheetViews>
    <sheetView tabSelected="1" workbookViewId="0">
      <selection activeCell="D1" sqref="D1:D21"/>
    </sheetView>
  </sheetViews>
  <sheetFormatPr defaultRowHeight="14.4" x14ac:dyDescent="0.3"/>
  <cols>
    <col min="4" max="4" width="12.109375" bestFit="1" customWidth="1"/>
    <col min="43" max="43" width="18.44140625" bestFit="1" customWidth="1"/>
  </cols>
  <sheetData>
    <row r="1" spans="1:43" x14ac:dyDescent="0.3">
      <c r="A1" s="3" t="s">
        <v>1</v>
      </c>
      <c r="B1" s="3" t="s">
        <v>2</v>
      </c>
      <c r="C1" s="3" t="s">
        <v>10</v>
      </c>
      <c r="D1" s="3" t="s">
        <v>14</v>
      </c>
      <c r="E1" s="3" t="s">
        <v>277</v>
      </c>
      <c r="F1" s="3" t="s">
        <v>278</v>
      </c>
      <c r="G1" s="3" t="s">
        <v>279</v>
      </c>
      <c r="H1" s="3" t="s">
        <v>280</v>
      </c>
      <c r="I1" s="3" t="s">
        <v>282</v>
      </c>
      <c r="J1" s="3" t="s">
        <v>283</v>
      </c>
      <c r="K1" s="3" t="s">
        <v>285</v>
      </c>
      <c r="L1" s="3" t="s">
        <v>294</v>
      </c>
      <c r="M1" s="3" t="s">
        <v>286</v>
      </c>
      <c r="N1" s="3" t="s">
        <v>281</v>
      </c>
      <c r="O1" s="3" t="s">
        <v>289</v>
      </c>
      <c r="P1" s="3" t="s">
        <v>287</v>
      </c>
      <c r="Q1" s="3" t="s">
        <v>291</v>
      </c>
      <c r="R1" s="3" t="s">
        <v>292</v>
      </c>
      <c r="S1" s="3" t="s">
        <v>293</v>
      </c>
      <c r="T1" s="3" t="s">
        <v>290</v>
      </c>
      <c r="U1" s="3" t="s">
        <v>288</v>
      </c>
      <c r="V1" s="3" t="s">
        <v>315</v>
      </c>
      <c r="W1" s="3" t="s">
        <v>316</v>
      </c>
      <c r="X1" s="3" t="s">
        <v>317</v>
      </c>
      <c r="Y1" s="3" t="s">
        <v>318</v>
      </c>
      <c r="Z1" s="3" t="s">
        <v>319</v>
      </c>
      <c r="AA1" s="3" t="s">
        <v>297</v>
      </c>
      <c r="AB1" s="3" t="s">
        <v>298</v>
      </c>
      <c r="AC1" s="3" t="s">
        <v>284</v>
      </c>
      <c r="AD1" s="3" t="s">
        <v>295</v>
      </c>
      <c r="AE1" s="3" t="s">
        <v>299</v>
      </c>
      <c r="AF1" s="3" t="s">
        <v>300</v>
      </c>
      <c r="AG1" s="3" t="s">
        <v>311</v>
      </c>
      <c r="AH1" s="3" t="s">
        <v>301</v>
      </c>
      <c r="AI1" s="3" t="s">
        <v>302</v>
      </c>
      <c r="AJ1" s="3" t="s">
        <v>303</v>
      </c>
      <c r="AK1" s="3" t="s">
        <v>304</v>
      </c>
      <c r="AL1" s="3" t="s">
        <v>305</v>
      </c>
      <c r="AM1" s="3" t="s">
        <v>306</v>
      </c>
      <c r="AN1" s="3" t="s">
        <v>307</v>
      </c>
      <c r="AO1" s="3" t="s">
        <v>308</v>
      </c>
      <c r="AP1" s="3" t="s">
        <v>314</v>
      </c>
      <c r="AQ1" s="3" t="s">
        <v>309</v>
      </c>
    </row>
    <row r="2" spans="1:43" x14ac:dyDescent="0.3">
      <c r="A2" s="3" t="s">
        <v>25</v>
      </c>
      <c r="B2" s="3">
        <v>2023</v>
      </c>
      <c r="C2" s="3" t="s">
        <v>29</v>
      </c>
      <c r="D2" s="3" t="s">
        <v>33</v>
      </c>
      <c r="E2" s="3">
        <v>40</v>
      </c>
      <c r="F2" s="3">
        <v>60</v>
      </c>
      <c r="G2" s="3">
        <v>1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1</v>
      </c>
      <c r="W2" s="3">
        <v>0</v>
      </c>
      <c r="X2" s="3">
        <v>0</v>
      </c>
      <c r="Y2" s="3">
        <v>0</v>
      </c>
      <c r="Z2" s="3">
        <v>0</v>
      </c>
      <c r="AA2" s="3">
        <v>2</v>
      </c>
      <c r="AB2" s="3">
        <v>90</v>
      </c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x14ac:dyDescent="0.3">
      <c r="A3" s="3" t="s">
        <v>41</v>
      </c>
      <c r="B3" s="3">
        <v>2022</v>
      </c>
      <c r="C3" s="3" t="s">
        <v>45</v>
      </c>
      <c r="D3" s="3" t="s">
        <v>47</v>
      </c>
      <c r="E3" s="3">
        <v>71</v>
      </c>
      <c r="F3" s="3">
        <v>71</v>
      </c>
      <c r="G3" s="3">
        <v>1</v>
      </c>
      <c r="H3" s="3">
        <v>1</v>
      </c>
      <c r="I3" s="3">
        <v>1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1</v>
      </c>
      <c r="W3" s="3">
        <v>1</v>
      </c>
      <c r="X3" s="3">
        <v>1</v>
      </c>
      <c r="Y3" s="3">
        <v>0</v>
      </c>
      <c r="Z3" s="3">
        <v>0</v>
      </c>
      <c r="AA3" s="3">
        <v>42</v>
      </c>
      <c r="AB3" s="3">
        <v>83</v>
      </c>
      <c r="AC3" s="3"/>
      <c r="AD3" s="3"/>
      <c r="AE3" s="3">
        <v>83</v>
      </c>
      <c r="AF3" s="3">
        <v>83</v>
      </c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</row>
    <row r="4" spans="1:43" x14ac:dyDescent="0.3">
      <c r="A4" s="3" t="s">
        <v>54</v>
      </c>
      <c r="B4" s="3">
        <v>2024</v>
      </c>
      <c r="C4" s="3" t="s">
        <v>58</v>
      </c>
      <c r="D4" s="3" t="s">
        <v>33</v>
      </c>
      <c r="E4" s="3">
        <v>24</v>
      </c>
      <c r="F4" s="3">
        <v>25</v>
      </c>
      <c r="G4" s="3">
        <v>0</v>
      </c>
      <c r="H4" s="3">
        <v>1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1</v>
      </c>
      <c r="W4" s="3">
        <v>0</v>
      </c>
      <c r="X4" s="3">
        <v>0</v>
      </c>
      <c r="Y4" s="3">
        <v>1</v>
      </c>
      <c r="Z4" s="3">
        <v>1</v>
      </c>
      <c r="AA4" s="3">
        <v>19</v>
      </c>
      <c r="AB4" s="3"/>
      <c r="AC4" s="3"/>
      <c r="AD4" s="3"/>
      <c r="AE4" s="3">
        <v>60</v>
      </c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</row>
    <row r="5" spans="1:43" x14ac:dyDescent="0.3">
      <c r="A5" s="3" t="s">
        <v>67</v>
      </c>
      <c r="B5" s="3">
        <v>2023</v>
      </c>
      <c r="C5" s="3" t="s">
        <v>71</v>
      </c>
      <c r="D5" s="3" t="s">
        <v>33</v>
      </c>
      <c r="E5" s="3">
        <v>49</v>
      </c>
      <c r="F5" s="3">
        <v>49</v>
      </c>
      <c r="G5" s="3">
        <v>1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1</v>
      </c>
      <c r="W5" s="3">
        <v>1</v>
      </c>
      <c r="X5" s="3">
        <v>1</v>
      </c>
      <c r="Y5" s="3">
        <v>0</v>
      </c>
      <c r="Z5" s="3">
        <v>0</v>
      </c>
      <c r="AA5" s="3">
        <v>64</v>
      </c>
      <c r="AB5" s="3">
        <v>83</v>
      </c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</row>
    <row r="6" spans="1:43" x14ac:dyDescent="0.3">
      <c r="A6" s="3" t="s">
        <v>79</v>
      </c>
      <c r="B6" s="3">
        <v>2020</v>
      </c>
      <c r="C6" s="3" t="s">
        <v>83</v>
      </c>
      <c r="D6" s="3" t="s">
        <v>85</v>
      </c>
      <c r="E6" s="3">
        <v>34</v>
      </c>
      <c r="F6" s="3">
        <v>30</v>
      </c>
      <c r="G6" s="3">
        <v>1</v>
      </c>
      <c r="H6" s="3">
        <v>0</v>
      </c>
      <c r="I6" s="3">
        <v>1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1</v>
      </c>
      <c r="W6" s="3">
        <v>1</v>
      </c>
      <c r="X6" s="3">
        <v>1</v>
      </c>
      <c r="Y6" s="3">
        <v>0</v>
      </c>
      <c r="Z6" s="3">
        <v>0</v>
      </c>
      <c r="AA6" s="3">
        <v>19</v>
      </c>
      <c r="AB6" s="3">
        <v>96</v>
      </c>
      <c r="AC6" s="3"/>
      <c r="AD6" s="3"/>
      <c r="AE6" s="3"/>
      <c r="AF6" s="3">
        <v>88</v>
      </c>
      <c r="AG6" s="3">
        <v>97</v>
      </c>
      <c r="AH6" s="3"/>
      <c r="AI6" s="3"/>
      <c r="AJ6" s="3"/>
      <c r="AK6" s="3"/>
      <c r="AL6" s="3"/>
      <c r="AM6" s="3"/>
      <c r="AN6" s="3"/>
      <c r="AO6" s="3"/>
      <c r="AP6" s="3"/>
      <c r="AQ6" s="3"/>
    </row>
    <row r="7" spans="1:43" x14ac:dyDescent="0.3">
      <c r="A7" s="3" t="s">
        <v>93</v>
      </c>
      <c r="B7" s="3">
        <v>2025</v>
      </c>
      <c r="C7" s="3" t="s">
        <v>97</v>
      </c>
      <c r="D7" s="3" t="s">
        <v>47</v>
      </c>
      <c r="E7" s="3">
        <v>28</v>
      </c>
      <c r="F7" s="3">
        <v>27</v>
      </c>
      <c r="G7" s="3">
        <v>0</v>
      </c>
      <c r="H7" s="3">
        <v>1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1</v>
      </c>
      <c r="X7" s="3">
        <v>1</v>
      </c>
      <c r="Y7" s="3">
        <v>0</v>
      </c>
      <c r="Z7" s="3">
        <v>1</v>
      </c>
      <c r="AA7" s="3">
        <v>32</v>
      </c>
      <c r="AB7" s="3"/>
      <c r="AC7" s="3"/>
      <c r="AD7" s="3"/>
      <c r="AE7" s="3">
        <v>65</v>
      </c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</row>
    <row r="8" spans="1:43" x14ac:dyDescent="0.3">
      <c r="A8" s="3" t="s">
        <v>105</v>
      </c>
      <c r="B8" s="3">
        <v>2024</v>
      </c>
      <c r="C8" s="3" t="s">
        <v>109</v>
      </c>
      <c r="D8" s="3" t="s">
        <v>111</v>
      </c>
      <c r="E8" s="3">
        <v>152</v>
      </c>
      <c r="F8" s="3">
        <v>197</v>
      </c>
      <c r="G8" s="3">
        <v>0</v>
      </c>
      <c r="H8" s="3">
        <v>1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1</v>
      </c>
      <c r="W8" s="3">
        <v>1</v>
      </c>
      <c r="X8" s="3">
        <v>1</v>
      </c>
      <c r="Y8" s="3">
        <v>1</v>
      </c>
      <c r="Z8" s="3">
        <v>0</v>
      </c>
      <c r="AA8" s="3">
        <v>21</v>
      </c>
      <c r="AB8" s="3"/>
      <c r="AC8" s="3"/>
      <c r="AD8" s="3"/>
      <c r="AE8" s="3">
        <v>75</v>
      </c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</row>
    <row r="9" spans="1:43" x14ac:dyDescent="0.3">
      <c r="A9" s="3" t="s">
        <v>118</v>
      </c>
      <c r="B9" s="3">
        <v>2021</v>
      </c>
      <c r="C9" s="3" t="s">
        <v>122</v>
      </c>
      <c r="D9" s="3" t="s">
        <v>33</v>
      </c>
      <c r="E9" s="3">
        <v>34</v>
      </c>
      <c r="F9" s="3">
        <v>29</v>
      </c>
      <c r="G9" s="3">
        <v>1</v>
      </c>
      <c r="H9" s="3">
        <v>1</v>
      </c>
      <c r="I9" s="3">
        <v>0</v>
      </c>
      <c r="J9" s="3">
        <v>0</v>
      </c>
      <c r="K9" s="3">
        <v>1</v>
      </c>
      <c r="L9" s="3">
        <v>0</v>
      </c>
      <c r="M9" s="3">
        <v>1</v>
      </c>
      <c r="N9" s="3">
        <v>1</v>
      </c>
      <c r="O9" s="3">
        <v>0</v>
      </c>
      <c r="P9" s="3">
        <v>1</v>
      </c>
      <c r="Q9" s="3">
        <v>0</v>
      </c>
      <c r="R9" s="3">
        <v>0</v>
      </c>
      <c r="S9" s="3">
        <v>0</v>
      </c>
      <c r="T9" s="3">
        <v>0</v>
      </c>
      <c r="U9" s="3">
        <v>1</v>
      </c>
      <c r="V9" s="3">
        <v>1</v>
      </c>
      <c r="W9" s="3">
        <v>1</v>
      </c>
      <c r="X9" s="3">
        <v>1</v>
      </c>
      <c r="Y9" s="3">
        <v>1</v>
      </c>
      <c r="Z9" s="3">
        <v>0</v>
      </c>
      <c r="AA9" s="3">
        <v>20</v>
      </c>
      <c r="AB9" s="3">
        <v>99</v>
      </c>
      <c r="AC9" s="3">
        <v>98</v>
      </c>
      <c r="AD9" s="3">
        <v>99</v>
      </c>
      <c r="AE9" s="3">
        <v>98</v>
      </c>
      <c r="AF9" s="3"/>
      <c r="AG9" s="3"/>
      <c r="AH9" s="3">
        <v>92</v>
      </c>
      <c r="AI9" s="3"/>
      <c r="AJ9" s="3">
        <v>93</v>
      </c>
      <c r="AK9" s="3">
        <v>86</v>
      </c>
      <c r="AL9" s="3"/>
      <c r="AM9" s="3">
        <v>93</v>
      </c>
      <c r="AN9" s="3"/>
      <c r="AO9" s="3"/>
      <c r="AP9" s="3"/>
      <c r="AQ9" s="3">
        <v>93</v>
      </c>
    </row>
    <row r="10" spans="1:43" x14ac:dyDescent="0.3">
      <c r="A10" s="3" t="s">
        <v>129</v>
      </c>
      <c r="B10" s="3">
        <v>2023</v>
      </c>
      <c r="C10" s="3" t="s">
        <v>133</v>
      </c>
      <c r="D10" s="3" t="s">
        <v>135</v>
      </c>
      <c r="E10" s="3">
        <v>34</v>
      </c>
      <c r="F10" s="3">
        <v>30</v>
      </c>
      <c r="G10" s="3">
        <v>0</v>
      </c>
      <c r="H10" s="3">
        <v>1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1</v>
      </c>
      <c r="P10" s="3">
        <v>0</v>
      </c>
      <c r="Q10" s="3">
        <v>1</v>
      </c>
      <c r="R10" s="3">
        <v>1</v>
      </c>
      <c r="S10" s="3">
        <v>1</v>
      </c>
      <c r="T10" s="3">
        <v>1</v>
      </c>
      <c r="U10" s="3">
        <v>0</v>
      </c>
      <c r="V10" s="3">
        <v>1</v>
      </c>
      <c r="W10" s="3">
        <v>1</v>
      </c>
      <c r="X10" s="3">
        <v>0</v>
      </c>
      <c r="Y10" s="3">
        <v>1</v>
      </c>
      <c r="Z10" s="3">
        <v>1</v>
      </c>
      <c r="AA10" s="3">
        <v>19</v>
      </c>
      <c r="AB10" s="3"/>
      <c r="AC10" s="3"/>
      <c r="AD10" s="3"/>
      <c r="AE10" s="3">
        <v>96</v>
      </c>
      <c r="AF10" s="3"/>
      <c r="AG10" s="3"/>
      <c r="AH10" s="3"/>
      <c r="AI10" s="3"/>
      <c r="AJ10" s="3"/>
      <c r="AK10" s="3"/>
      <c r="AL10" s="3">
        <v>92</v>
      </c>
      <c r="AM10" s="3"/>
      <c r="AN10" s="3"/>
      <c r="AO10" s="3">
        <v>97</v>
      </c>
      <c r="AP10" s="3"/>
      <c r="AQ10" s="3"/>
    </row>
    <row r="11" spans="1:43" x14ac:dyDescent="0.3">
      <c r="A11" s="3" t="s">
        <v>143</v>
      </c>
      <c r="B11" s="3">
        <v>2023</v>
      </c>
      <c r="C11" s="3" t="s">
        <v>145</v>
      </c>
      <c r="D11" s="3" t="s">
        <v>33</v>
      </c>
      <c r="E11" s="3">
        <v>31</v>
      </c>
      <c r="F11" s="3">
        <v>31</v>
      </c>
      <c r="G11" s="3">
        <v>1</v>
      </c>
      <c r="H11" s="3">
        <v>0</v>
      </c>
      <c r="I11" s="3">
        <v>0</v>
      </c>
      <c r="J11" s="3">
        <v>0</v>
      </c>
      <c r="K11" s="3">
        <v>0</v>
      </c>
      <c r="L11" s="3">
        <v>1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1</v>
      </c>
      <c r="W11" s="3">
        <v>1</v>
      </c>
      <c r="X11" s="3">
        <v>1</v>
      </c>
      <c r="Y11" s="3">
        <v>0</v>
      </c>
      <c r="Z11" s="3">
        <v>0</v>
      </c>
      <c r="AA11" s="3">
        <v>62</v>
      </c>
      <c r="AB11" s="3">
        <v>87</v>
      </c>
      <c r="AC11" s="3"/>
      <c r="AD11" s="3"/>
      <c r="AE11" s="3"/>
      <c r="AF11" s="3"/>
      <c r="AG11" s="3"/>
      <c r="AH11" s="3"/>
      <c r="AI11" s="3">
        <v>84</v>
      </c>
      <c r="AJ11" s="3"/>
      <c r="AK11" s="3"/>
      <c r="AL11" s="3"/>
      <c r="AM11" s="3"/>
      <c r="AN11" s="3"/>
      <c r="AO11" s="3"/>
      <c r="AP11" s="3"/>
      <c r="AQ11" s="3"/>
    </row>
    <row r="12" spans="1:43" x14ac:dyDescent="0.3">
      <c r="A12" s="3" t="s">
        <v>153</v>
      </c>
      <c r="B12" s="3">
        <v>2022</v>
      </c>
      <c r="C12" s="3" t="s">
        <v>157</v>
      </c>
      <c r="D12" s="3" t="s">
        <v>111</v>
      </c>
      <c r="E12" s="3">
        <v>92</v>
      </c>
      <c r="F12" s="3"/>
      <c r="G12" s="3">
        <v>1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1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1</v>
      </c>
      <c r="W12" s="3">
        <v>1</v>
      </c>
      <c r="X12" s="3">
        <v>1</v>
      </c>
      <c r="Y12" s="3">
        <v>1</v>
      </c>
      <c r="Z12" s="3">
        <v>0</v>
      </c>
      <c r="AA12" s="3">
        <v>19</v>
      </c>
      <c r="AB12" s="3">
        <v>97</v>
      </c>
      <c r="AC12" s="3"/>
      <c r="AD12" s="3"/>
      <c r="AE12" s="3"/>
      <c r="AF12" s="3"/>
      <c r="AG12" s="3"/>
      <c r="AH12" s="3"/>
      <c r="AI12" s="3"/>
      <c r="AJ12" s="3"/>
      <c r="AK12" s="3">
        <v>82</v>
      </c>
      <c r="AL12" s="3"/>
      <c r="AM12" s="3"/>
      <c r="AN12" s="3"/>
      <c r="AO12" s="3"/>
      <c r="AP12" s="3"/>
      <c r="AQ12" s="3"/>
    </row>
    <row r="13" spans="1:43" x14ac:dyDescent="0.3">
      <c r="A13" s="3" t="s">
        <v>167</v>
      </c>
      <c r="B13" s="3">
        <v>2024</v>
      </c>
      <c r="C13" s="3" t="s">
        <v>170</v>
      </c>
      <c r="D13" s="3" t="s">
        <v>85</v>
      </c>
      <c r="E13" s="3">
        <v>40</v>
      </c>
      <c r="F13" s="3">
        <v>74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1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1</v>
      </c>
      <c r="AA13" s="3">
        <v>64</v>
      </c>
      <c r="AB13" s="3">
        <v>86</v>
      </c>
      <c r="AC13" s="3"/>
      <c r="AD13" s="3"/>
      <c r="AE13" s="3"/>
      <c r="AF13" s="3"/>
      <c r="AG13" s="3"/>
      <c r="AH13" s="3"/>
      <c r="AI13" s="3"/>
      <c r="AJ13" s="3"/>
      <c r="AK13" s="3">
        <v>82</v>
      </c>
      <c r="AL13" s="3"/>
      <c r="AM13" s="3"/>
      <c r="AN13" s="3"/>
      <c r="AO13" s="3"/>
      <c r="AP13" s="3"/>
      <c r="AQ13" s="3"/>
    </row>
    <row r="14" spans="1:43" x14ac:dyDescent="0.3">
      <c r="A14" s="3" t="s">
        <v>180</v>
      </c>
      <c r="B14" s="3">
        <v>2021</v>
      </c>
      <c r="C14" s="3" t="s">
        <v>183</v>
      </c>
      <c r="D14" s="3" t="s">
        <v>85</v>
      </c>
      <c r="E14" s="3">
        <v>200</v>
      </c>
      <c r="F14" s="3">
        <v>200</v>
      </c>
      <c r="G14" s="3">
        <v>1</v>
      </c>
      <c r="H14" s="3">
        <v>0</v>
      </c>
      <c r="I14" s="3">
        <v>1</v>
      </c>
      <c r="J14" s="3">
        <v>0</v>
      </c>
      <c r="K14" s="3">
        <v>0</v>
      </c>
      <c r="L14" s="3">
        <v>1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1</v>
      </c>
      <c r="W14" s="3">
        <v>1</v>
      </c>
      <c r="X14" s="3">
        <v>1</v>
      </c>
      <c r="Y14" s="3">
        <v>0</v>
      </c>
      <c r="Z14" s="3">
        <v>0</v>
      </c>
      <c r="AA14" s="3">
        <v>32</v>
      </c>
      <c r="AB14" s="3">
        <v>88</v>
      </c>
      <c r="AC14" s="3"/>
      <c r="AD14" s="3"/>
      <c r="AE14" s="3"/>
      <c r="AF14" s="3">
        <v>48</v>
      </c>
      <c r="AG14" s="3"/>
      <c r="AH14" s="3"/>
      <c r="AI14" s="3">
        <v>75</v>
      </c>
      <c r="AJ14" s="3"/>
      <c r="AK14" s="3"/>
      <c r="AL14" s="3"/>
      <c r="AM14" s="3"/>
      <c r="AN14" s="3"/>
      <c r="AO14" s="3"/>
      <c r="AP14" s="3"/>
      <c r="AQ14" s="3"/>
    </row>
    <row r="15" spans="1:43" x14ac:dyDescent="0.3">
      <c r="A15" s="3" t="s">
        <v>192</v>
      </c>
      <c r="B15" s="3">
        <v>2021</v>
      </c>
      <c r="C15" s="3" t="s">
        <v>194</v>
      </c>
      <c r="D15" s="3" t="s">
        <v>47</v>
      </c>
      <c r="E15" s="3">
        <v>34</v>
      </c>
      <c r="F15" s="3">
        <v>58</v>
      </c>
      <c r="G15" s="3">
        <v>1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1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1</v>
      </c>
      <c r="W15" s="3">
        <v>0</v>
      </c>
      <c r="X15" s="3">
        <v>0</v>
      </c>
      <c r="Y15" s="3">
        <v>1</v>
      </c>
      <c r="Z15" s="3">
        <v>0</v>
      </c>
      <c r="AA15" s="3">
        <v>19</v>
      </c>
      <c r="AB15" s="3">
        <v>90</v>
      </c>
      <c r="AC15" s="3"/>
      <c r="AD15" s="3"/>
      <c r="AE15" s="3">
        <v>73</v>
      </c>
      <c r="AF15" s="3"/>
      <c r="AG15" s="3"/>
      <c r="AH15" s="3"/>
      <c r="AI15" s="3"/>
      <c r="AJ15" s="3"/>
      <c r="AK15" s="3">
        <v>73</v>
      </c>
      <c r="AL15" s="3"/>
      <c r="AM15" s="3"/>
      <c r="AN15" s="3"/>
      <c r="AO15" s="3"/>
      <c r="AP15" s="3"/>
      <c r="AQ15" s="3"/>
    </row>
    <row r="16" spans="1:43" x14ac:dyDescent="0.3">
      <c r="A16" s="3" t="s">
        <v>203</v>
      </c>
      <c r="B16" s="3">
        <v>2025</v>
      </c>
      <c r="C16" s="3" t="s">
        <v>207</v>
      </c>
      <c r="D16" s="3" t="s">
        <v>111</v>
      </c>
      <c r="E16" s="3">
        <v>85</v>
      </c>
      <c r="F16" s="3">
        <v>49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1</v>
      </c>
      <c r="W16" s="3">
        <v>1</v>
      </c>
      <c r="X16" s="3">
        <v>1</v>
      </c>
      <c r="Y16" s="3">
        <v>1</v>
      </c>
      <c r="Z16" s="3">
        <v>0</v>
      </c>
      <c r="AA16" s="3">
        <v>62</v>
      </c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>
        <v>70</v>
      </c>
      <c r="AQ16" s="3"/>
    </row>
    <row r="17" spans="1:43" x14ac:dyDescent="0.3">
      <c r="A17" s="3" t="s">
        <v>216</v>
      </c>
      <c r="B17" s="3">
        <v>2025</v>
      </c>
      <c r="C17" s="3" t="s">
        <v>217</v>
      </c>
      <c r="D17" s="3" t="s">
        <v>85</v>
      </c>
      <c r="E17" s="3">
        <v>70</v>
      </c>
      <c r="F17" s="3">
        <v>70</v>
      </c>
      <c r="G17" s="3">
        <v>1</v>
      </c>
      <c r="H17" s="3">
        <v>1</v>
      </c>
      <c r="I17" s="3">
        <v>1</v>
      </c>
      <c r="J17" s="3">
        <v>0</v>
      </c>
      <c r="K17" s="3">
        <v>1</v>
      </c>
      <c r="L17" s="3">
        <v>0</v>
      </c>
      <c r="M17" s="3">
        <v>1</v>
      </c>
      <c r="N17" s="3">
        <v>0</v>
      </c>
      <c r="O17" s="3">
        <v>1</v>
      </c>
      <c r="P17" s="3">
        <v>0</v>
      </c>
      <c r="Q17" s="3">
        <v>0</v>
      </c>
      <c r="R17" s="3">
        <v>0</v>
      </c>
      <c r="S17" s="3">
        <v>0</v>
      </c>
      <c r="T17" s="3">
        <v>1</v>
      </c>
      <c r="U17" s="3">
        <v>0</v>
      </c>
      <c r="V17" s="3">
        <v>1</v>
      </c>
      <c r="W17" s="3">
        <v>0</v>
      </c>
      <c r="X17" s="3">
        <v>0</v>
      </c>
      <c r="Y17" s="3">
        <v>1</v>
      </c>
      <c r="Z17" s="3">
        <v>0</v>
      </c>
      <c r="AA17" s="3">
        <v>19</v>
      </c>
      <c r="AB17" s="3"/>
      <c r="AC17" s="3"/>
      <c r="AD17" s="3"/>
      <c r="AE17" s="3">
        <v>73</v>
      </c>
      <c r="AF17" s="3">
        <v>60</v>
      </c>
      <c r="AG17" s="3"/>
      <c r="AH17" s="3">
        <v>78</v>
      </c>
      <c r="AI17" s="3"/>
      <c r="AJ17" s="3"/>
      <c r="AK17" s="3"/>
      <c r="AL17" s="3"/>
      <c r="AM17" s="3"/>
      <c r="AN17" s="3"/>
      <c r="AO17" s="3">
        <v>80</v>
      </c>
      <c r="AP17" s="3"/>
      <c r="AQ17" s="3"/>
    </row>
    <row r="18" spans="1:43" x14ac:dyDescent="0.3">
      <c r="A18" s="3" t="s">
        <v>227</v>
      </c>
      <c r="B18" s="3">
        <v>2025</v>
      </c>
      <c r="C18" s="3" t="s">
        <v>231</v>
      </c>
      <c r="D18" s="3" t="s">
        <v>47</v>
      </c>
      <c r="E18" s="3">
        <v>240</v>
      </c>
      <c r="F18" s="3">
        <v>245</v>
      </c>
      <c r="G18" s="3">
        <v>1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1</v>
      </c>
      <c r="W18" s="3">
        <v>1</v>
      </c>
      <c r="X18" s="3">
        <v>1</v>
      </c>
      <c r="Y18" s="3">
        <v>0</v>
      </c>
      <c r="Z18" s="3">
        <v>0</v>
      </c>
      <c r="AA18" s="3">
        <v>19</v>
      </c>
      <c r="AB18" s="3">
        <v>67</v>
      </c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3">
      <c r="A19" s="3" t="s">
        <v>240</v>
      </c>
      <c r="B19" s="3">
        <v>2025</v>
      </c>
      <c r="C19" s="3" t="s">
        <v>244</v>
      </c>
      <c r="D19" s="3" t="s">
        <v>47</v>
      </c>
      <c r="E19" s="3">
        <v>22</v>
      </c>
      <c r="F19" s="3">
        <v>15</v>
      </c>
      <c r="G19" s="3">
        <v>1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1</v>
      </c>
      <c r="W19" s="3">
        <v>0</v>
      </c>
      <c r="X19" s="3">
        <v>0</v>
      </c>
      <c r="Y19" s="3">
        <v>0</v>
      </c>
      <c r="Z19" s="3">
        <v>0</v>
      </c>
      <c r="AA19" s="3">
        <v>19</v>
      </c>
      <c r="AB19" s="3">
        <v>93</v>
      </c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3">
      <c r="A20" s="3" t="s">
        <v>252</v>
      </c>
      <c r="B20" s="3">
        <v>2022</v>
      </c>
      <c r="C20" s="3" t="s">
        <v>256</v>
      </c>
      <c r="D20" s="3" t="s">
        <v>47</v>
      </c>
      <c r="E20" s="3">
        <v>30</v>
      </c>
      <c r="F20" s="3">
        <v>22</v>
      </c>
      <c r="G20" s="3">
        <v>1</v>
      </c>
      <c r="H20" s="3">
        <v>0</v>
      </c>
      <c r="I20" s="3">
        <v>0</v>
      </c>
      <c r="J20" s="3">
        <v>0</v>
      </c>
      <c r="K20" s="3">
        <v>0</v>
      </c>
      <c r="L20" s="3">
        <v>1</v>
      </c>
      <c r="M20" s="3">
        <v>0</v>
      </c>
      <c r="N20" s="3">
        <v>1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1</v>
      </c>
      <c r="W20" s="3">
        <v>1</v>
      </c>
      <c r="X20" s="3">
        <v>1</v>
      </c>
      <c r="Y20" s="3">
        <v>0</v>
      </c>
      <c r="Z20" s="3">
        <v>0</v>
      </c>
      <c r="AA20" s="3">
        <v>64</v>
      </c>
      <c r="AB20" s="3"/>
      <c r="AC20" s="3">
        <v>98</v>
      </c>
      <c r="AD20" s="3">
        <v>82</v>
      </c>
      <c r="AE20" s="3"/>
      <c r="AF20" s="3"/>
      <c r="AG20" s="3"/>
      <c r="AH20" s="3"/>
      <c r="AI20" s="3">
        <v>78</v>
      </c>
      <c r="AJ20" s="3">
        <v>78</v>
      </c>
      <c r="AK20" s="3">
        <v>68</v>
      </c>
      <c r="AL20" s="3"/>
      <c r="AM20" s="3"/>
      <c r="AN20" s="3"/>
      <c r="AO20" s="3"/>
      <c r="AP20" s="3"/>
      <c r="AQ20" s="3"/>
    </row>
    <row r="21" spans="1:43" x14ac:dyDescent="0.3">
      <c r="A21" s="3" t="s">
        <v>264</v>
      </c>
      <c r="B21" s="3">
        <v>2025</v>
      </c>
      <c r="C21" s="3" t="s">
        <v>268</v>
      </c>
      <c r="D21" s="3" t="s">
        <v>47</v>
      </c>
      <c r="E21" s="3">
        <v>27</v>
      </c>
      <c r="F21" s="3">
        <v>96</v>
      </c>
      <c r="G21" s="3">
        <v>1</v>
      </c>
      <c r="H21" s="3">
        <v>1</v>
      </c>
      <c r="I21" s="3">
        <v>1</v>
      </c>
      <c r="J21" s="3">
        <v>1</v>
      </c>
      <c r="K21" s="3">
        <v>0</v>
      </c>
      <c r="L21" s="3">
        <v>0</v>
      </c>
      <c r="M21" s="3">
        <v>1</v>
      </c>
      <c r="N21" s="3">
        <v>0</v>
      </c>
      <c r="O21" s="3">
        <v>1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1</v>
      </c>
      <c r="W21" s="3">
        <v>0</v>
      </c>
      <c r="X21" s="3">
        <v>0</v>
      </c>
      <c r="Y21" s="3">
        <v>1</v>
      </c>
      <c r="Z21" s="3">
        <v>0</v>
      </c>
      <c r="AA21" s="3">
        <v>19</v>
      </c>
      <c r="AB21" s="3">
        <v>88</v>
      </c>
      <c r="AC21" s="3"/>
      <c r="AD21" s="3"/>
      <c r="AE21" s="3">
        <v>88</v>
      </c>
      <c r="AF21" s="3"/>
      <c r="AG21" s="3"/>
      <c r="AH21" s="3"/>
      <c r="AI21" s="3"/>
      <c r="AJ21" s="3"/>
      <c r="AK21" s="3"/>
      <c r="AL21" s="3">
        <v>85</v>
      </c>
      <c r="AM21" s="3"/>
      <c r="AN21" s="3"/>
      <c r="AO21" s="3"/>
      <c r="AP21" s="3"/>
      <c r="AQ21" s="3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1AFD415-41A6-4638-A804-74BFF6832E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articles</vt:lpstr>
      <vt:lpstr>r_sheet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Saulo Gil</dc:creator>
  <cp:lastModifiedBy>Saulo Gil</cp:lastModifiedBy>
  <dcterms:created xsi:type="dcterms:W3CDTF">2026-03-22T16:12:14Z</dcterms:created>
  <dcterms:modified xsi:type="dcterms:W3CDTF">2026-03-22T18:00:30Z</dcterms:modified>
</cp:coreProperties>
</file>